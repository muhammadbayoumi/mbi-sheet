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593964578465e7ef/mbi - sheets/mbi-station-elevation-coordinates - REV 29 OCT 2025/station elevation/"/>
    </mc:Choice>
  </mc:AlternateContent>
  <xr:revisionPtr revIDLastSave="1584" documentId="8_{5FD7452D-2EB5-4138-A847-17E28461E9B3}" xr6:coauthVersionLast="47" xr6:coauthVersionMax="47" xr10:uidLastSave="{EEBB2812-8625-416B-BC47-86A2B2EB8C37}"/>
  <bookViews>
    <workbookView xWindow="-120" yWindow="-120" windowWidth="29040" windowHeight="15720" tabRatio="661" activeTab="1" xr2:uid="{E0E73E3F-AD4E-4431-802F-845CA953966E}"/>
  </bookViews>
  <sheets>
    <sheet name="User Manual" sheetId="67" r:id="rId1"/>
    <sheet name="Profile Data" sheetId="3" r:id="rId2"/>
  </sheets>
  <definedNames>
    <definedName name="_xlnm.Print_Area" localSheetId="1">'Profile Data'!$A$1:$R$42</definedName>
    <definedName name="_xlnm.Print_Area" localSheetId="0">'User Manual'!$A$1:$Z$111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3" i="67" l="1"/>
  <c r="BD23" i="67"/>
  <c r="BG23" i="67"/>
  <c r="BH23" i="67"/>
  <c r="BI23" i="67"/>
  <c r="BJ23" i="67"/>
  <c r="BC24" i="67"/>
  <c r="BD24" i="67"/>
  <c r="BG24" i="67"/>
  <c r="BH24" i="67"/>
  <c r="BI24" i="67"/>
  <c r="BJ24" i="67"/>
  <c r="BC21" i="67"/>
  <c r="BD21" i="67"/>
  <c r="BE21" i="67"/>
  <c r="BF21" i="67"/>
  <c r="BG21" i="67"/>
  <c r="BH21" i="67"/>
  <c r="BI21" i="67"/>
  <c r="BJ21" i="67"/>
  <c r="BC22" i="67"/>
  <c r="BD22" i="67"/>
  <c r="BG22" i="67"/>
  <c r="BH22" i="67"/>
  <c r="BI22" i="67"/>
  <c r="BJ22" i="67"/>
  <c r="BD20" i="67"/>
  <c r="BE20" i="67"/>
  <c r="BF20" i="67"/>
  <c r="BG20" i="67"/>
  <c r="BH20" i="67"/>
  <c r="BI20" i="67"/>
  <c r="BJ20" i="67"/>
  <c r="BC20" i="67"/>
  <c r="D19" i="3"/>
  <c r="E19" i="3"/>
  <c r="D20" i="3"/>
  <c r="BE22" i="67" s="1"/>
  <c r="E20" i="3"/>
  <c r="BF22" i="67" s="1"/>
  <c r="D21" i="3"/>
  <c r="BE23" i="67" s="1"/>
  <c r="E21" i="3"/>
  <c r="BF23" i="67" s="1"/>
  <c r="K18" i="3"/>
  <c r="K19" i="3"/>
  <c r="K20" i="3"/>
  <c r="K21" i="3"/>
  <c r="K22" i="3"/>
  <c r="K23" i="3"/>
  <c r="K24" i="3"/>
  <c r="J24" i="3" l="1"/>
  <c r="Q24" i="3" s="1"/>
  <c r="L24" i="3"/>
  <c r="P24" i="3" l="1"/>
  <c r="M24" i="3"/>
  <c r="N24" i="3" s="1"/>
  <c r="O24" i="3" l="1"/>
  <c r="C2" i="3" l="1"/>
  <c r="L23" i="3" l="1"/>
  <c r="J23" i="3"/>
  <c r="Q23" i="3" s="1"/>
  <c r="E23" i="3"/>
  <c r="D23" i="3"/>
  <c r="L22" i="3"/>
  <c r="J22" i="3"/>
  <c r="Q22" i="3" s="1"/>
  <c r="E22" i="3"/>
  <c r="BF24" i="67" s="1"/>
  <c r="D22" i="3"/>
  <c r="BE24" i="67" s="1"/>
  <c r="L18" i="3"/>
  <c r="J18" i="3"/>
  <c r="BG37" i="67" l="1" a="1"/>
  <c r="BG37" i="67" s="1"/>
  <c r="BG36" i="67" a="1"/>
  <c r="BG36" i="67" s="1"/>
  <c r="J21" i="3"/>
  <c r="M21" i="3" s="1"/>
  <c r="J20" i="3"/>
  <c r="Q20" i="3" s="1"/>
  <c r="L20" i="3"/>
  <c r="L21" i="3"/>
  <c r="Q18" i="3"/>
  <c r="L19" i="3"/>
  <c r="J19" i="3"/>
  <c r="Q19" i="3" s="1"/>
  <c r="P22" i="3"/>
  <c r="P18" i="3"/>
  <c r="BG34" i="67" s="1" a="1"/>
  <c r="BG34" i="67" s="1"/>
  <c r="M18" i="3"/>
  <c r="M22" i="3"/>
  <c r="N22" i="3" s="1"/>
  <c r="P23" i="3"/>
  <c r="M23" i="3"/>
  <c r="N23" i="3" s="1"/>
  <c r="BG31" i="67" l="1" a="1"/>
  <c r="BG31" i="67" s="1"/>
  <c r="Q21" i="3"/>
  <c r="P21" i="3"/>
  <c r="M20" i="3"/>
  <c r="N20" i="3" s="1"/>
  <c r="P20" i="3"/>
  <c r="BG30" i="67" s="1" a="1"/>
  <c r="BG30" i="67" s="1"/>
  <c r="N21" i="3"/>
  <c r="O21" i="3"/>
  <c r="P19" i="3"/>
  <c r="E30" i="3" s="1" a="1"/>
  <c r="E30" i="3" s="1"/>
  <c r="M19" i="3"/>
  <c r="N19" i="3" s="1"/>
  <c r="O18" i="3"/>
  <c r="N18" i="3"/>
  <c r="O23" i="3"/>
  <c r="O22" i="3"/>
  <c r="BG32" i="67" l="1" a="1"/>
  <c r="BG32" i="67" s="1"/>
  <c r="BG33" i="67" a="1"/>
  <c r="BG33" i="67" s="1"/>
  <c r="BG35" i="67" a="1"/>
  <c r="BG35" i="67" s="1"/>
  <c r="E31" i="3" a="1"/>
  <c r="E31" i="3" s="1"/>
  <c r="BG29" i="67" a="1"/>
  <c r="BG29" i="67" s="1"/>
  <c r="BG28" i="67" a="1"/>
  <c r="BG28" i="67" s="1"/>
  <c r="E29" i="3" a="1"/>
  <c r="E29" i="3" s="1"/>
  <c r="E35" i="3" a="1"/>
  <c r="E35" i="3" s="1"/>
  <c r="O20" i="3"/>
  <c r="E32" i="3" a="1"/>
  <c r="E32" i="3" s="1"/>
  <c r="E34" i="3" a="1"/>
  <c r="E34" i="3" s="1"/>
  <c r="E36" i="3" a="1"/>
  <c r="E36" i="3" s="1"/>
  <c r="E37" i="3" a="1"/>
  <c r="E37" i="3" s="1"/>
  <c r="E33" i="3" a="1"/>
  <c r="E33" i="3" s="1"/>
  <c r="E38" i="3" a="1"/>
  <c r="E38" i="3" s="1"/>
  <c r="O1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<sst xmlns="http://schemas.openxmlformats.org/spreadsheetml/2006/main" count="151" uniqueCount="122">
  <si>
    <t>L</t>
  </si>
  <si>
    <t>E</t>
  </si>
  <si>
    <t>K</t>
  </si>
  <si>
    <t>a</t>
  </si>
  <si>
    <t>PVC</t>
  </si>
  <si>
    <t>PVI</t>
  </si>
  <si>
    <t>PVT</t>
  </si>
  <si>
    <t>PVC 
[STATION]</t>
  </si>
  <si>
    <t>PVC 
[ELEVATION]</t>
  </si>
  <si>
    <t>PVI
[STATION]</t>
  </si>
  <si>
    <t>PVI
[ELEVATION]</t>
  </si>
  <si>
    <t>PVT
[STATION]</t>
  </si>
  <si>
    <t>PVT
[ELEVATION]</t>
  </si>
  <si>
    <t>Station</t>
  </si>
  <si>
    <t>A</t>
  </si>
  <si>
    <t>b</t>
  </si>
  <si>
    <t>A (difference)</t>
  </si>
  <si>
    <t>Alignment Elevation</t>
  </si>
  <si>
    <t>where:</t>
  </si>
  <si>
    <t>y = bx+c</t>
  </si>
  <si>
    <t>Elevation Lookup by Station</t>
  </si>
  <si>
    <t>Station Elevation Table</t>
  </si>
  <si>
    <t>Date:</t>
  </si>
  <si>
    <t>Reference Doc.:</t>
  </si>
  <si>
    <t>Straight</t>
  </si>
  <si>
    <t>[GEOMETRY LONGITUDINAL PROFILES]</t>
  </si>
  <si>
    <t>Segment Type</t>
  </si>
  <si>
    <t>Segment Number</t>
  </si>
  <si>
    <r>
      <rPr>
        <b/>
        <sz val="11"/>
        <color theme="0" tint="-4.9989318521683403E-2"/>
        <rFont val="Consolas"/>
        <family val="3"/>
      </rPr>
      <t>Profile Segment Type:</t>
    </r>
    <r>
      <rPr>
        <sz val="11"/>
        <color theme="0" tint="-4.9989318521683403E-2"/>
        <rFont val="Consolas"/>
        <family val="3"/>
      </rPr>
      <t xml:space="preserve"> Specify whether the segment is a Straight or a Curve.</t>
    </r>
  </si>
  <si>
    <r>
      <rPr>
        <b/>
        <sz val="11"/>
        <color theme="0" tint="-4.9989318521683403E-2"/>
        <rFont val="Consolas"/>
        <family val="3"/>
      </rPr>
      <t>Segment Number:</t>
    </r>
    <r>
      <rPr>
        <sz val="11"/>
        <color theme="0" tint="-4.9989318521683403E-2"/>
        <rFont val="Consolas"/>
        <family val="3"/>
      </rPr>
      <t xml:space="preserve"> A unique identifier assigned to each profile segment.</t>
    </r>
  </si>
  <si>
    <t>Station and Elevation:</t>
  </si>
  <si>
    <t>Straight Segment: Enter the start and end station and their corresponding elevations.</t>
  </si>
  <si>
    <t>Vertical Curve</t>
  </si>
  <si>
    <t>Vertical Curve Segment: Vertical Curve, a parabolic section used to connect two tangents with different slopes smoothly.</t>
  </si>
  <si>
    <t>Straight Segment: A linear section with a constant slope.</t>
  </si>
  <si>
    <r>
      <rPr>
        <b/>
        <sz val="26"/>
        <color theme="9"/>
        <rFont val="Consolas"/>
        <family val="3"/>
      </rPr>
      <t>Alignment</t>
    </r>
    <r>
      <rPr>
        <b/>
        <sz val="26"/>
        <rFont val="Consolas"/>
        <family val="3"/>
      </rPr>
      <t xml:space="preserve"> Profile Data</t>
    </r>
  </si>
  <si>
    <t>muhammad.bayoumi.ali@gmail.com</t>
  </si>
  <si>
    <t>E-mail</t>
  </si>
  <si>
    <t>Linkedin</t>
  </si>
  <si>
    <t>How to Extract and Enter Station &amp; Elevation Data</t>
  </si>
  <si>
    <t>Go to the GEOMETRY LONGITUDINAL PROFILE page in the project documents.</t>
  </si>
  <si>
    <t>1.</t>
  </si>
  <si>
    <t>2.</t>
  </si>
  <si>
    <t>3.</t>
  </si>
  <si>
    <t>4.</t>
  </si>
  <si>
    <t>5.</t>
  </si>
  <si>
    <t>Identify the segment type (Straight or Vertical Curve).</t>
  </si>
  <si>
    <t>Take the start station and elevation.</t>
  </si>
  <si>
    <t>Take the end station and elevation.</t>
  </si>
  <si>
    <t>Extract the station and elevation data as follows:</t>
  </si>
  <si>
    <t>Straight Segment:</t>
  </si>
  <si>
    <t>Vertical Curve Segment:</t>
  </si>
  <si>
    <t>Extract PVC (Point of Vertical Curve) station and elevation.</t>
  </si>
  <si>
    <t>.</t>
  </si>
  <si>
    <t>Extract PVI (Point of Vertical Intersection) station and elevation.</t>
  </si>
  <si>
    <t>Extract PVT (Point of Vertical Tangent) station and elevation.</t>
  </si>
  <si>
    <t>Enter the extracted values into the sheet under the corresponding segment.</t>
  </si>
  <si>
    <t>Verify the sequence of stations and confirm elevations are consistent with the geometry profile.</t>
  </si>
  <si>
    <r>
      <t xml:space="preserve">This sheet was developed by Eng. </t>
    </r>
    <r>
      <rPr>
        <b/>
        <sz val="11"/>
        <color theme="9"/>
        <rFont val="Consolas"/>
        <family val="3"/>
      </rPr>
      <t>Muhammad Bayoumi Ali</t>
    </r>
  </si>
  <si>
    <t>PVC (Start)
[STATION]</t>
  </si>
  <si>
    <t>PVC (Start)
[ELEVATION]</t>
  </si>
  <si>
    <t>PVT (End)
[STATION]</t>
  </si>
  <si>
    <t>PVT (End)
[ELEVATION]</t>
  </si>
  <si>
    <t>GEOMETRY LONGITUDINAL PROFILE</t>
  </si>
  <si>
    <t>https://github.com/muhammadbayoumi</t>
  </si>
  <si>
    <t>GitHub</t>
  </si>
  <si>
    <t>Phone</t>
  </si>
  <si>
    <t>+20 1095395360 | +966 503359422</t>
  </si>
  <si>
    <t>Vertical Curve Segment: Enter the key points of the curve with their station and elevation</t>
  </si>
  <si>
    <r>
      <t xml:space="preserve">1. Inputting </t>
    </r>
    <r>
      <rPr>
        <b/>
        <sz val="11"/>
        <color theme="9"/>
        <rFont val="Consolas"/>
        <family val="3"/>
      </rPr>
      <t>Geometry Longitudinal Profile Data</t>
    </r>
    <r>
      <rPr>
        <sz val="11"/>
        <color theme="0" tint="-4.9989318521683403E-2"/>
        <rFont val="Consolas"/>
        <family val="3"/>
      </rPr>
      <t>.</t>
    </r>
  </si>
  <si>
    <t>https://www.linkedin.com/in/muhammad-bayoumi-ali</t>
  </si>
  <si>
    <t>Vertical Curve Segment (parabolic)</t>
  </si>
  <si>
    <t>Straight Segment (linear)</t>
  </si>
  <si>
    <t>y = ax^2+bx+c</t>
  </si>
  <si>
    <r>
      <t>+G</t>
    </r>
    <r>
      <rPr>
        <vertAlign val="subscript"/>
        <sz val="9"/>
        <color theme="0" tint="-4.9989318521683403E-2"/>
        <rFont val="Consolas"/>
        <family val="3"/>
      </rPr>
      <t>1</t>
    </r>
    <r>
      <rPr>
        <sz val="9"/>
        <color theme="0" tint="-4.9989318521683403E-2"/>
        <rFont val="Consolas"/>
        <family val="3"/>
      </rPr>
      <t>: Initial gradient or slope of the road before the curve (rising slope)</t>
    </r>
  </si>
  <si>
    <r>
      <t>-G</t>
    </r>
    <r>
      <rPr>
        <vertAlign val="subscript"/>
        <sz val="9"/>
        <color theme="0" tint="-4.9989318521683403E-2"/>
        <rFont val="Consolas"/>
        <family val="3"/>
      </rPr>
      <t>1</t>
    </r>
    <r>
      <rPr>
        <sz val="9"/>
        <color theme="0" tint="-4.9989318521683403E-2"/>
        <rFont val="Consolas"/>
        <family val="3"/>
      </rPr>
      <t>: Slope after the curve (falling slope)</t>
    </r>
  </si>
  <si>
    <r>
      <rPr>
        <sz val="9"/>
        <color theme="0" tint="-4.9989318521683403E-2"/>
        <rFont val="Consolas"/>
        <family val="3"/>
      </rPr>
      <t>+G</t>
    </r>
    <r>
      <rPr>
        <vertAlign val="subscript"/>
        <sz val="9"/>
        <color theme="0" tint="-4.9989318521683403E-2"/>
        <rFont val="Consolas"/>
        <family val="3"/>
      </rPr>
      <t>2</t>
    </r>
    <r>
      <rPr>
        <sz val="9"/>
        <color theme="0" tint="-4.9989318521683403E-2"/>
        <rFont val="Consolas"/>
        <family val="3"/>
      </rPr>
      <t>: Final gradient after the curve (rising slope)</t>
    </r>
  </si>
  <si>
    <r>
      <rPr>
        <sz val="9"/>
        <color theme="0" tint="-4.9989318521683403E-2"/>
        <rFont val="Consolas"/>
        <family val="3"/>
      </rPr>
      <t>-G</t>
    </r>
    <r>
      <rPr>
        <vertAlign val="subscript"/>
        <sz val="9"/>
        <color theme="0" tint="-4.9989318521683403E-2"/>
        <rFont val="Consolas"/>
        <family val="3"/>
      </rPr>
      <t>2</t>
    </r>
    <r>
      <rPr>
        <sz val="9"/>
        <color theme="0" tint="-4.9989318521683403E-2"/>
        <rFont val="Consolas"/>
        <family val="3"/>
      </rPr>
      <t>: Slope after the curve (falling slope)</t>
    </r>
  </si>
  <si>
    <r>
      <t>G</t>
    </r>
    <r>
      <rPr>
        <b/>
        <vertAlign val="subscript"/>
        <sz val="9"/>
        <color theme="0"/>
        <rFont val="Consolas"/>
        <family val="3"/>
      </rPr>
      <t>1</t>
    </r>
  </si>
  <si>
    <r>
      <t>G</t>
    </r>
    <r>
      <rPr>
        <b/>
        <vertAlign val="subscript"/>
        <sz val="9"/>
        <color theme="0"/>
        <rFont val="Consolas"/>
        <family val="3"/>
      </rPr>
      <t>2</t>
    </r>
  </si>
  <si>
    <r>
      <rPr>
        <sz val="9"/>
        <color theme="0"/>
        <rFont val="Consolas"/>
        <family val="3"/>
      </rPr>
      <t>Point of Vertical Intersection,</t>
    </r>
    <r>
      <rPr>
        <sz val="9"/>
        <color theme="0" tint="-4.9989318521683403E-2"/>
        <rFont val="Consolas"/>
        <family val="3"/>
      </rPr>
      <t xml:space="preserve"> The point where two different slopes intersect (the highest or lowest point of the curve).</t>
    </r>
  </si>
  <si>
    <r>
      <rPr>
        <sz val="9"/>
        <color theme="0"/>
        <rFont val="Consolas"/>
        <family val="3"/>
      </rPr>
      <t xml:space="preserve">Point of Vertical Tangent, </t>
    </r>
    <r>
      <rPr>
        <sz val="9"/>
        <color theme="0" tint="-4.9989318521683403E-2"/>
        <rFont val="Consolas"/>
        <family val="3"/>
      </rPr>
      <t>This is where the curve ends and the road becomes straight again.</t>
    </r>
    <r>
      <rPr>
        <i/>
        <sz val="9"/>
        <color theme="0" tint="-4.9989318521683403E-2"/>
        <rFont val="Consolas"/>
        <family val="3"/>
      </rPr>
      <t xml:space="preserve"> [EVCS End vertical curve station, EVCE End vertical curve elevation]</t>
    </r>
  </si>
  <si>
    <r>
      <t xml:space="preserve">Point of Vertical Curve, This is where the curve starts. </t>
    </r>
    <r>
      <rPr>
        <i/>
        <sz val="9"/>
        <color theme="0"/>
        <rFont val="Consolas"/>
        <family val="3"/>
      </rPr>
      <t>[BVCS Beginning vertical curves station, BVCE Beginning of transition curve]</t>
    </r>
  </si>
  <si>
    <t>#Vertical Curve Segment (parabolic)</t>
  </si>
  <si>
    <t>#Straight Segment (linear)</t>
  </si>
  <si>
    <t>START</t>
  </si>
  <si>
    <t>END</t>
  </si>
  <si>
    <t>This is where the straight segment starts.</t>
  </si>
  <si>
    <t>This is where the straight segment ends.</t>
  </si>
  <si>
    <t>Formula Reference</t>
  </si>
  <si>
    <r>
      <rPr>
        <b/>
        <sz val="9"/>
        <rFont val="Consolas"/>
        <family val="3"/>
      </rPr>
      <t>c=</t>
    </r>
    <r>
      <rPr>
        <sz val="9"/>
        <rFont val="Consolas"/>
        <family val="3"/>
      </rPr>
      <t xml:space="preserve"> Elevation of the reference point (starting point of the segment).</t>
    </r>
  </si>
  <si>
    <r>
      <rPr>
        <b/>
        <sz val="9"/>
        <rFont val="Consolas"/>
        <family val="3"/>
      </rPr>
      <t>x=</t>
    </r>
    <r>
      <rPr>
        <sz val="9"/>
        <rFont val="Consolas"/>
        <family val="3"/>
      </rPr>
      <t xml:space="preserve"> Horizontal distance from the beginning of the curve (PVC) or from the reference point of the current segment.</t>
    </r>
  </si>
  <si>
    <r>
      <rPr>
        <b/>
        <sz val="9"/>
        <rFont val="Consolas"/>
        <family val="3"/>
      </rPr>
      <t>y=</t>
    </r>
    <r>
      <rPr>
        <sz val="9"/>
        <rFont val="Consolas"/>
        <family val="3"/>
      </rPr>
      <t xml:space="preserve"> Elevation of the roadway at a distance x from the beginning of the curve (or segment).</t>
    </r>
  </si>
  <si>
    <r>
      <rPr>
        <b/>
        <sz val="9"/>
        <rFont val="Consolas"/>
        <family val="3"/>
      </rPr>
      <t xml:space="preserve">a= </t>
    </r>
    <r>
      <rPr>
        <sz val="9"/>
        <rFont val="Consolas"/>
        <family val="3"/>
      </rPr>
      <t>Rate of change of grade per unit length, calculated as (G₂ − G₁) / (2 × L). It defines the curvature of the vertical curve.</t>
    </r>
  </si>
  <si>
    <r>
      <rPr>
        <b/>
        <sz val="9"/>
        <rFont val="Consolas"/>
        <family val="3"/>
      </rPr>
      <t>b=</t>
    </r>
    <r>
      <rPr>
        <sz val="9"/>
        <rFont val="Consolas"/>
        <family val="3"/>
      </rPr>
      <t xml:space="preserve"> Initial grade (G₁) expressed as a decimal.</t>
    </r>
  </si>
  <si>
    <r>
      <rPr>
        <b/>
        <sz val="9"/>
        <rFont val="Consolas"/>
        <family val="3"/>
      </rPr>
      <t>c=</t>
    </r>
    <r>
      <rPr>
        <sz val="9"/>
        <rFont val="Consolas"/>
        <family val="3"/>
      </rPr>
      <t xml:space="preserve"> Elevation of the reference point (usually the Point of Vertical Curvature – PVC, or the starting point of the straight segment).</t>
    </r>
  </si>
  <si>
    <t>a=(G₂ − G₁) / (2 × L)</t>
  </si>
  <si>
    <t>b=(G₁)</t>
  </si>
  <si>
    <t>L: Length of the vertical curve (distance between PVC and PVT).</t>
  </si>
  <si>
    <r>
      <t xml:space="preserve">Grades of tangents (%), </t>
    </r>
    <r>
      <rPr>
        <b/>
        <sz val="9"/>
        <color theme="9"/>
        <rFont val="Consolas"/>
        <family val="3"/>
      </rPr>
      <t>G</t>
    </r>
    <r>
      <rPr>
        <b/>
        <vertAlign val="subscript"/>
        <sz val="9"/>
        <color theme="9"/>
        <rFont val="Consolas"/>
        <family val="3"/>
      </rPr>
      <t>2</t>
    </r>
    <r>
      <rPr>
        <b/>
        <sz val="9"/>
        <color theme="9"/>
        <rFont val="Consolas"/>
        <family val="3"/>
      </rPr>
      <t xml:space="preserve"> = (PVT Elevation - PVI Elevation)/(PVT Station - PVI Station)</t>
    </r>
  </si>
  <si>
    <r>
      <t xml:space="preserve">Grades of tangents (%), </t>
    </r>
    <r>
      <rPr>
        <b/>
        <sz val="9"/>
        <color theme="9"/>
        <rFont val="Consolas"/>
        <family val="3"/>
      </rPr>
      <t>G</t>
    </r>
    <r>
      <rPr>
        <b/>
        <vertAlign val="subscript"/>
        <sz val="9"/>
        <color theme="9"/>
        <rFont val="Consolas"/>
        <family val="3"/>
      </rPr>
      <t xml:space="preserve">1 </t>
    </r>
    <r>
      <rPr>
        <b/>
        <sz val="9"/>
        <color theme="9"/>
        <rFont val="Consolas"/>
        <family val="3"/>
      </rPr>
      <t>= (PVI Elevation - PVC Elevation)/(PVI Station - PVC Station)</t>
    </r>
  </si>
  <si>
    <r>
      <t xml:space="preserve">Parabolic curve parameter — horizontal distance per 1% grade change., </t>
    </r>
    <r>
      <rPr>
        <b/>
        <sz val="9"/>
        <color theme="9"/>
        <rFont val="Consolas"/>
        <family val="3"/>
      </rPr>
      <t>K = L / A</t>
    </r>
  </si>
  <si>
    <r>
      <t xml:space="preserve">External distance (maximum vertical offset of the parabolic curve from the tangent)., </t>
    </r>
    <r>
      <rPr>
        <b/>
        <sz val="9"/>
        <color theme="0"/>
        <rFont val="Consolas"/>
        <family val="3"/>
      </rPr>
      <t xml:space="preserve"> </t>
    </r>
    <r>
      <rPr>
        <b/>
        <sz val="9"/>
        <color theme="9"/>
        <rFont val="Consolas"/>
        <family val="3"/>
      </rPr>
      <t>E = ( A * L ) / 8</t>
    </r>
  </si>
  <si>
    <r>
      <t xml:space="preserve">Length of the vertical curve (distance between PVC and PVT)., </t>
    </r>
    <r>
      <rPr>
        <b/>
        <sz val="9"/>
        <color theme="9"/>
        <rFont val="Consolas"/>
        <family val="3"/>
      </rPr>
      <t>L = PVT [STATION] - PVC [STATION]</t>
    </r>
  </si>
  <si>
    <t>The central repository of all mathematical formulas, parameters, and derivations.</t>
  </si>
  <si>
    <t>#Vertical Geometry Formulas</t>
  </si>
  <si>
    <r>
      <t xml:space="preserve">Initial gradient or slope., </t>
    </r>
    <r>
      <rPr>
        <b/>
        <sz val="9"/>
        <color theme="9"/>
        <rFont val="Consolas"/>
        <family val="3"/>
      </rPr>
      <t>G</t>
    </r>
    <r>
      <rPr>
        <b/>
        <vertAlign val="subscript"/>
        <sz val="9"/>
        <color theme="9"/>
        <rFont val="Consolas"/>
        <family val="3"/>
      </rPr>
      <t xml:space="preserve">1 </t>
    </r>
    <r>
      <rPr>
        <b/>
        <sz val="9"/>
        <color theme="9"/>
        <rFont val="Consolas"/>
        <family val="3"/>
      </rPr>
      <t>= (End Point Elevation - Start Point Elevation)/(End Point Station - Start Point Station)</t>
    </r>
  </si>
  <si>
    <r>
      <t xml:space="preserve">Algebraic difference between the initial and final grades., </t>
    </r>
    <r>
      <rPr>
        <b/>
        <sz val="9"/>
        <color theme="9"/>
        <rFont val="Consolas"/>
        <family val="3"/>
      </rPr>
      <t>A = | G</t>
    </r>
    <r>
      <rPr>
        <b/>
        <vertAlign val="subscript"/>
        <sz val="9"/>
        <color theme="9"/>
        <rFont val="Consolas"/>
        <family val="3"/>
      </rPr>
      <t>2</t>
    </r>
    <r>
      <rPr>
        <b/>
        <sz val="9"/>
        <color theme="9"/>
        <rFont val="Consolas"/>
        <family val="3"/>
      </rPr>
      <t xml:space="preserve"> - G</t>
    </r>
    <r>
      <rPr>
        <b/>
        <vertAlign val="subscript"/>
        <sz val="9"/>
        <color theme="9"/>
        <rFont val="Consolas"/>
        <family val="3"/>
      </rPr>
      <t>1</t>
    </r>
    <r>
      <rPr>
        <b/>
        <sz val="9"/>
        <color theme="9"/>
        <rFont val="Consolas"/>
        <family val="3"/>
      </rPr>
      <t xml:space="preserve"> |</t>
    </r>
  </si>
  <si>
    <r>
      <t>G</t>
    </r>
    <r>
      <rPr>
        <vertAlign val="subscript"/>
        <sz val="8"/>
        <color theme="0"/>
        <rFont val="Consolas"/>
        <family val="3"/>
      </rPr>
      <t>1</t>
    </r>
  </si>
  <si>
    <r>
      <t>G</t>
    </r>
    <r>
      <rPr>
        <vertAlign val="subscript"/>
        <sz val="8"/>
        <color theme="0"/>
        <rFont val="Consolas"/>
        <family val="3"/>
      </rPr>
      <t>2</t>
    </r>
  </si>
  <si>
    <r>
      <rPr>
        <b/>
        <sz val="8"/>
        <rFont val="Consolas"/>
        <family val="3"/>
      </rPr>
      <t>y=</t>
    </r>
    <r>
      <rPr>
        <sz val="8"/>
        <rFont val="Consolas"/>
        <family val="3"/>
      </rPr>
      <t xml:space="preserve"> Elevation of the roadway at a distance x from the beginning of the curve (or segment).</t>
    </r>
  </si>
  <si>
    <r>
      <rPr>
        <b/>
        <sz val="8"/>
        <rFont val="Consolas"/>
        <family val="3"/>
      </rPr>
      <t>x=</t>
    </r>
    <r>
      <rPr>
        <sz val="8"/>
        <rFont val="Consolas"/>
        <family val="3"/>
      </rPr>
      <t xml:space="preserve"> Horizontal distance from the beginning of the curve (PVC) or from the reference point of the current segment.</t>
    </r>
  </si>
  <si>
    <r>
      <rPr>
        <b/>
        <sz val="8"/>
        <rFont val="Consolas"/>
        <family val="3"/>
      </rPr>
      <t>c=</t>
    </r>
    <r>
      <rPr>
        <sz val="8"/>
        <rFont val="Consolas"/>
        <family val="3"/>
      </rPr>
      <t xml:space="preserve"> Elevation of the reference point (starting point of the segment).</t>
    </r>
  </si>
  <si>
    <r>
      <rPr>
        <b/>
        <sz val="8"/>
        <rFont val="Consolas"/>
        <family val="3"/>
      </rPr>
      <t xml:space="preserve">a= </t>
    </r>
    <r>
      <rPr>
        <sz val="8"/>
        <rFont val="Consolas"/>
        <family val="3"/>
      </rPr>
      <t>Rate of change of grade per unit length, calculated as (G₂ − G₁) / (2 × L). It defines the curvature of the vertical curve.</t>
    </r>
  </si>
  <si>
    <r>
      <rPr>
        <b/>
        <sz val="8"/>
        <rFont val="Consolas"/>
        <family val="3"/>
      </rPr>
      <t>b=</t>
    </r>
    <r>
      <rPr>
        <sz val="8"/>
        <rFont val="Consolas"/>
        <family val="3"/>
      </rPr>
      <t xml:space="preserve"> Initial grade (G₁) expressed as a decimal.</t>
    </r>
  </si>
  <si>
    <t>Input</t>
  </si>
  <si>
    <t>Output</t>
  </si>
  <si>
    <t>Elevation by Station</t>
  </si>
  <si>
    <t>Computes profile elevations for straight and curved segments using standard vertical geometry formulas.</t>
  </si>
  <si>
    <t>The workflow for Computes profile elevations:</t>
  </si>
  <si>
    <t>Release 29 Oct. 2025</t>
  </si>
  <si>
    <r>
      <t>y = ax</t>
    </r>
    <r>
      <rPr>
        <b/>
        <vertAlign val="superscript"/>
        <sz val="9"/>
        <color theme="9"/>
        <rFont val="Consolas"/>
        <family val="3"/>
      </rPr>
      <t>2</t>
    </r>
    <r>
      <rPr>
        <b/>
        <sz val="9"/>
        <color theme="9"/>
        <rFont val="Consolas"/>
        <family val="3"/>
      </rPr>
      <t>+bx+c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</si>
</sst>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"/>
    <numFmt numFmtId="166" formatCode="[$-409]mmmm\ d\,\ yyyy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name val="Consolas"/>
      <family val="3"/>
    </font>
    <font>
      <sz val="11"/>
      <name val="Consolas"/>
      <family val="3"/>
    </font>
    <font>
      <b/>
      <sz val="26"/>
      <color rgb="FF151B25"/>
      <name val="Consolas"/>
      <family val="3"/>
    </font>
    <font>
      <sz val="11"/>
      <color rgb="FF151B25"/>
      <name val="Consolas"/>
      <family val="3"/>
    </font>
    <font>
      <b/>
      <sz val="26"/>
      <color theme="0" tint="-4.9989318521683403E-2"/>
      <name val="Consolas"/>
      <family val="3"/>
    </font>
    <font>
      <sz val="11"/>
      <color theme="0" tint="-4.9989318521683403E-2"/>
      <name val="Consolas"/>
      <family val="3"/>
    </font>
    <font>
      <b/>
      <sz val="11"/>
      <color theme="0" tint="-4.9989318521683403E-2"/>
      <name val="Consolas"/>
      <family val="3"/>
    </font>
    <font>
      <b/>
      <sz val="36"/>
      <color theme="0" tint="-4.9989318521683403E-2"/>
      <name val="Consolas"/>
      <family val="3"/>
    </font>
    <font>
      <b/>
      <sz val="12"/>
      <color theme="0" tint="-4.9989318521683403E-2"/>
      <name val="Consolas"/>
      <family val="3"/>
    </font>
    <font>
      <sz val="9"/>
      <color rgb="FF151B25"/>
      <name val="Consolas"/>
      <family val="3"/>
    </font>
    <font>
      <b/>
      <sz val="9"/>
      <color rgb="FF151B25"/>
      <name val="Consolas"/>
      <family val="3"/>
    </font>
    <font>
      <b/>
      <sz val="11"/>
      <color theme="9"/>
      <name val="Consolas"/>
      <family val="3"/>
    </font>
    <font>
      <b/>
      <sz val="26"/>
      <color theme="9"/>
      <name val="Consolas"/>
      <family val="3"/>
    </font>
    <font>
      <u/>
      <sz val="11"/>
      <color theme="10"/>
      <name val="Calibri"/>
      <family val="2"/>
      <scheme val="minor"/>
    </font>
    <font>
      <b/>
      <sz val="11"/>
      <name val="Consolas"/>
      <family val="3"/>
    </font>
    <font>
      <b/>
      <u/>
      <sz val="11"/>
      <name val="Consolas"/>
      <family val="3"/>
    </font>
    <font>
      <sz val="8"/>
      <color theme="0"/>
      <name val="Calibri"/>
      <family val="2"/>
      <scheme val="minor"/>
    </font>
    <font>
      <sz val="8"/>
      <name val="Calibri"/>
      <family val="2"/>
    </font>
    <font>
      <i/>
      <sz val="11"/>
      <name val="Consolas"/>
      <family val="3"/>
    </font>
    <font>
      <b/>
      <i/>
      <sz val="11"/>
      <name val="Consolas"/>
      <family val="3"/>
    </font>
    <font>
      <sz val="9"/>
      <color theme="0"/>
      <name val="Consolas"/>
      <family val="3"/>
    </font>
    <font>
      <b/>
      <sz val="48"/>
      <color rgb="FF151B25"/>
      <name val="Consolas"/>
      <family val="3"/>
    </font>
    <font>
      <sz val="9"/>
      <color theme="1"/>
      <name val="Consolas"/>
      <family val="3"/>
    </font>
    <font>
      <b/>
      <sz val="9"/>
      <color theme="0"/>
      <name val="Consolas"/>
      <family val="3"/>
    </font>
    <font>
      <sz val="11"/>
      <color theme="1"/>
      <name val="Consolas"/>
      <family val="3"/>
    </font>
    <font>
      <sz val="8"/>
      <color theme="0"/>
      <name val="Consolas"/>
      <family val="3"/>
    </font>
    <font>
      <sz val="9"/>
      <name val="Consolas"/>
      <family val="3"/>
    </font>
    <font>
      <sz val="8"/>
      <name val="Consolas"/>
      <family val="3"/>
    </font>
    <font>
      <sz val="11"/>
      <color rgb="FF7F7F7F"/>
      <name val="Consolas"/>
      <family val="3"/>
    </font>
    <font>
      <b/>
      <sz val="18"/>
      <color rgb="FF151B25"/>
      <name val="Consolas"/>
      <family val="3"/>
    </font>
    <font>
      <b/>
      <sz val="9"/>
      <name val="Consolas"/>
      <family val="3"/>
    </font>
    <font>
      <sz val="9"/>
      <color theme="0" tint="-4.9989318521683403E-2"/>
      <name val="Consolas"/>
      <family val="3"/>
    </font>
    <font>
      <sz val="11"/>
      <color theme="0"/>
      <name val="Consolas"/>
      <family val="3"/>
    </font>
    <font>
      <b/>
      <sz val="14"/>
      <color theme="0" tint="-4.9989318521683403E-2"/>
      <name val="Consolas"/>
      <family val="3"/>
    </font>
    <font>
      <i/>
      <sz val="11"/>
      <color theme="0" tint="-4.9989318521683403E-2"/>
      <name val="Consolas"/>
      <family val="3"/>
    </font>
    <font>
      <i/>
      <sz val="12"/>
      <color theme="0" tint="-4.9989318521683403E-2"/>
      <name val="Consolas"/>
      <family val="3"/>
    </font>
    <font>
      <b/>
      <sz val="9"/>
      <color theme="0" tint="-4.9989318521683403E-2"/>
      <name val="Consolas"/>
      <family val="3"/>
    </font>
    <font>
      <vertAlign val="subscript"/>
      <sz val="9"/>
      <color theme="0" tint="-4.9989318521683403E-2"/>
      <name val="Consolas"/>
      <family val="3"/>
    </font>
    <font>
      <b/>
      <sz val="9"/>
      <color theme="9"/>
      <name val="Consolas"/>
      <family val="3"/>
    </font>
    <font>
      <i/>
      <sz val="9"/>
      <color theme="0"/>
      <name val="Consolas"/>
      <family val="3"/>
    </font>
    <font>
      <i/>
      <sz val="9"/>
      <color theme="0" tint="-4.9989318521683403E-2"/>
      <name val="Consolas"/>
      <family val="3"/>
    </font>
    <font>
      <b/>
      <vertAlign val="subscript"/>
      <sz val="9"/>
      <color theme="0"/>
      <name val="Consolas"/>
      <family val="3"/>
    </font>
    <font>
      <i/>
      <sz val="11"/>
      <color rgb="FF151B25"/>
      <name val="Consolas"/>
      <family val="3"/>
    </font>
    <font>
      <b/>
      <vertAlign val="subscript"/>
      <sz val="9"/>
      <color theme="9"/>
      <name val="Consolas"/>
      <family val="3"/>
    </font>
    <font>
      <vertAlign val="subscript"/>
      <sz val="8"/>
      <color theme="0"/>
      <name val="Consolas"/>
      <family val="3"/>
    </font>
    <font>
      <b/>
      <sz val="8"/>
      <name val="Consolas"/>
      <family val="3"/>
    </font>
    <font>
      <sz val="10"/>
      <name val="Consolas"/>
      <family val="3"/>
    </font>
    <font>
      <b/>
      <vertAlign val="superscript"/>
      <sz val="9"/>
      <color theme="9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  <fill>
      <patternFill patternType="solid">
        <fgColor rgb="FF151B25"/>
        <bgColor indexed="64"/>
      </patternFill>
    </fill>
    <fill>
      <patternFill patternType="solid">
        <fgColor theme="9"/>
        <bgColor indexed="64"/>
      </patternFill>
    </fill>
  </fills>
  <borders count="3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151B25"/>
      </left>
      <right style="thin">
        <color rgb="FF151B25"/>
      </right>
      <top style="thin">
        <color rgb="FF151B25"/>
      </top>
      <bottom style="thin">
        <color rgb="FF151B25"/>
      </bottom>
      <diagonal/>
    </border>
    <border>
      <left style="thin">
        <color rgb="FF151B25"/>
      </left>
      <right/>
      <top style="thin">
        <color rgb="FF151B25"/>
      </top>
      <bottom/>
      <diagonal/>
    </border>
    <border>
      <left/>
      <right/>
      <top style="thin">
        <color rgb="FF151B25"/>
      </top>
      <bottom/>
      <diagonal/>
    </border>
    <border>
      <left/>
      <right style="thin">
        <color rgb="FF151B25"/>
      </right>
      <top style="thin">
        <color rgb="FF151B25"/>
      </top>
      <bottom/>
      <diagonal/>
    </border>
    <border>
      <left style="thin">
        <color rgb="FF151B25"/>
      </left>
      <right/>
      <top/>
      <bottom/>
      <diagonal/>
    </border>
    <border>
      <left/>
      <right style="thin">
        <color rgb="FF151B25"/>
      </right>
      <top/>
      <bottom/>
      <diagonal/>
    </border>
    <border>
      <left style="thin">
        <color rgb="FF151B25"/>
      </left>
      <right/>
      <top/>
      <bottom style="thin">
        <color rgb="FF151B25"/>
      </bottom>
      <diagonal/>
    </border>
    <border>
      <left/>
      <right/>
      <top/>
      <bottom style="thin">
        <color rgb="FF151B25"/>
      </bottom>
      <diagonal/>
    </border>
    <border>
      <left/>
      <right style="thin">
        <color rgb="FF151B25"/>
      </right>
      <top/>
      <bottom style="thin">
        <color rgb="FF151B2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indexed="64"/>
      </left>
      <right style="thin">
        <color rgb="FFB2B2B2"/>
      </right>
      <top/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5" fillId="5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50">
    <xf numFmtId="0" fontId="0" fillId="0" borderId="0" xfId="0"/>
    <xf numFmtId="0" fontId="0" fillId="3" borderId="0" xfId="0" applyFill="1"/>
    <xf numFmtId="0" fontId="10" fillId="6" borderId="0" xfId="5" applyFont="1" applyFill="1" applyAlignment="1" applyProtection="1">
      <alignment horizontal="left" vertical="center"/>
      <protection hidden="1"/>
    </xf>
    <xf numFmtId="0" fontId="10" fillId="6" borderId="0" xfId="5" applyFont="1" applyFill="1" applyProtection="1">
      <protection hidden="1"/>
    </xf>
    <xf numFmtId="0" fontId="6" fillId="6" borderId="0" xfId="5" applyFont="1" applyFill="1" applyProtection="1">
      <protection hidden="1"/>
    </xf>
    <xf numFmtId="0" fontId="8" fillId="7" borderId="0" xfId="5" applyFont="1" applyFill="1" applyProtection="1">
      <protection hidden="1"/>
    </xf>
    <xf numFmtId="0" fontId="6" fillId="4" borderId="0" xfId="5" applyFont="1" applyFill="1" applyProtection="1">
      <protection hidden="1"/>
    </xf>
    <xf numFmtId="0" fontId="6" fillId="7" borderId="0" xfId="5" applyFont="1" applyFill="1" applyProtection="1">
      <protection hidden="1"/>
    </xf>
    <xf numFmtId="0" fontId="11" fillId="6" borderId="0" xfId="0" applyFont="1" applyFill="1" applyProtection="1">
      <protection hidden="1"/>
    </xf>
    <xf numFmtId="0" fontId="11" fillId="6" borderId="0" xfId="0" applyFont="1" applyFill="1" applyAlignment="1" applyProtection="1">
      <alignment horizontal="left" indent="3"/>
      <protection hidden="1"/>
    </xf>
    <xf numFmtId="0" fontId="7" fillId="6" borderId="0" xfId="0" applyFont="1" applyFill="1" applyProtection="1">
      <protection hidden="1"/>
    </xf>
    <xf numFmtId="0" fontId="9" fillId="7" borderId="0" xfId="0" applyFont="1" applyFill="1" applyProtection="1">
      <protection hidden="1"/>
    </xf>
    <xf numFmtId="0" fontId="7" fillId="4" borderId="0" xfId="0" applyFont="1" applyFill="1" applyProtection="1">
      <protection hidden="1"/>
    </xf>
    <xf numFmtId="0" fontId="7" fillId="7" borderId="0" xfId="0" applyFont="1" applyFill="1" applyProtection="1">
      <protection hidden="1"/>
    </xf>
    <xf numFmtId="0" fontId="14" fillId="6" borderId="0" xfId="0" applyFont="1" applyFill="1" applyProtection="1">
      <protection hidden="1"/>
    </xf>
    <xf numFmtId="0" fontId="11" fillId="4" borderId="0" xfId="0" applyFont="1" applyFill="1" applyProtection="1">
      <protection hidden="1"/>
    </xf>
    <xf numFmtId="0" fontId="11" fillId="7" borderId="0" xfId="0" applyFont="1" applyFill="1" applyProtection="1">
      <protection hidden="1"/>
    </xf>
    <xf numFmtId="0" fontId="11" fillId="6" borderId="0" xfId="0" applyFont="1" applyFill="1" applyAlignment="1" applyProtection="1">
      <alignment horizontal="left" vertical="center" indent="1"/>
      <protection hidden="1"/>
    </xf>
    <xf numFmtId="0" fontId="12" fillId="6" borderId="0" xfId="0" applyFont="1" applyFill="1" applyProtection="1">
      <protection hidden="1"/>
    </xf>
    <xf numFmtId="0" fontId="11" fillId="6" borderId="0" xfId="0" applyFont="1" applyFill="1" applyAlignment="1" applyProtection="1">
      <alignment horizontal="left" wrapText="1"/>
      <protection hidden="1"/>
    </xf>
    <xf numFmtId="0" fontId="11" fillId="6" borderId="0" xfId="0" applyFont="1" applyFill="1" applyAlignment="1" applyProtection="1">
      <alignment horizontal="left"/>
      <protection hidden="1"/>
    </xf>
    <xf numFmtId="0" fontId="9" fillId="7" borderId="0" xfId="0" applyFont="1" applyFill="1" applyAlignment="1" applyProtection="1">
      <alignment readingOrder="2"/>
      <protection hidden="1"/>
    </xf>
    <xf numFmtId="0" fontId="19" fillId="6" borderId="0" xfId="6" applyFill="1" applyProtection="1">
      <protection hidden="1"/>
    </xf>
    <xf numFmtId="0" fontId="20" fillId="4" borderId="0" xfId="0" applyFont="1" applyFill="1" applyProtection="1">
      <protection hidden="1"/>
    </xf>
    <xf numFmtId="0" fontId="20" fillId="4" borderId="0" xfId="0" quotePrefix="1" applyFont="1" applyFill="1" applyAlignment="1" applyProtection="1">
      <alignment horizontal="right"/>
      <protection hidden="1"/>
    </xf>
    <xf numFmtId="0" fontId="20" fillId="4" borderId="0" xfId="0" quotePrefix="1" applyFont="1" applyFill="1" applyAlignment="1" applyProtection="1">
      <alignment horizontal="right" vertical="center"/>
      <protection hidden="1"/>
    </xf>
    <xf numFmtId="0" fontId="21" fillId="4" borderId="0" xfId="0" applyFont="1" applyFill="1" applyProtection="1">
      <protection hidden="1"/>
    </xf>
    <xf numFmtId="0" fontId="7" fillId="4" borderId="0" xfId="0" applyFont="1" applyFill="1" applyAlignment="1" applyProtection="1">
      <alignment horizontal="left"/>
      <protection hidden="1"/>
    </xf>
    <xf numFmtId="0" fontId="7" fillId="4" borderId="0" xfId="0" quotePrefix="1" applyFont="1" applyFill="1" applyAlignment="1" applyProtection="1">
      <alignment horizontal="left" vertical="center"/>
      <protection hidden="1"/>
    </xf>
    <xf numFmtId="0" fontId="20" fillId="4" borderId="0" xfId="0" applyFont="1" applyFill="1" applyAlignment="1" applyProtection="1">
      <alignment horizontal="right"/>
      <protection hidden="1"/>
    </xf>
    <xf numFmtId="0" fontId="25" fillId="4" borderId="0" xfId="0" quotePrefix="1" applyFont="1" applyFill="1" applyAlignment="1" applyProtection="1">
      <alignment horizontal="right"/>
      <protection hidden="1"/>
    </xf>
    <xf numFmtId="0" fontId="7" fillId="3" borderId="0" xfId="0" applyFont="1" applyFill="1" applyProtection="1">
      <protection hidden="1"/>
    </xf>
    <xf numFmtId="0" fontId="11" fillId="3" borderId="0" xfId="0" applyFont="1" applyFill="1" applyProtection="1">
      <protection hidden="1"/>
    </xf>
    <xf numFmtId="0" fontId="31" fillId="5" borderId="2" xfId="5" applyFont="1" applyBorder="1" applyAlignment="1" applyProtection="1">
      <alignment horizontal="center" vertical="center" wrapText="1"/>
      <protection hidden="1"/>
    </xf>
    <xf numFmtId="0" fontId="31" fillId="5" borderId="3" xfId="5" applyFont="1" applyBorder="1" applyAlignment="1" applyProtection="1">
      <alignment horizontal="center" vertical="center" wrapText="1"/>
      <protection hidden="1"/>
    </xf>
    <xf numFmtId="0" fontId="31" fillId="5" borderId="3" xfId="5" applyFont="1" applyBorder="1" applyAlignment="1" applyProtection="1">
      <alignment horizontal="center" vertical="center"/>
      <protection hidden="1"/>
    </xf>
    <xf numFmtId="0" fontId="31" fillId="5" borderId="4" xfId="5" applyFont="1" applyBorder="1" applyAlignment="1" applyProtection="1">
      <alignment horizontal="center" vertical="center"/>
      <protection hidden="1"/>
    </xf>
    <xf numFmtId="0" fontId="15" fillId="3" borderId="0" xfId="0" applyFont="1" applyFill="1" applyAlignment="1" applyProtection="1">
      <alignment horizont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33" fillId="2" borderId="5" xfId="2" applyFont="1" applyBorder="1" applyAlignment="1" applyProtection="1">
      <alignment horizontal="center" vertical="center"/>
      <protection locked="0"/>
    </xf>
    <xf numFmtId="164" fontId="33" fillId="0" borderId="5" xfId="2" applyNumberFormat="1" applyFont="1" applyFill="1" applyBorder="1" applyAlignment="1" applyProtection="1">
      <alignment horizontal="center"/>
      <protection hidden="1"/>
    </xf>
    <xf numFmtId="0" fontId="33" fillId="0" borderId="1" xfId="2" applyFont="1" applyFill="1" applyAlignment="1" applyProtection="1">
      <alignment horizontal="center"/>
      <protection hidden="1"/>
    </xf>
    <xf numFmtId="164" fontId="33" fillId="0" borderId="5" xfId="1" applyNumberFormat="1" applyFont="1" applyFill="1" applyBorder="1" applyAlignment="1" applyProtection="1">
      <alignment horizontal="center"/>
      <protection hidden="1"/>
    </xf>
    <xf numFmtId="0" fontId="33" fillId="0" borderId="5" xfId="2" applyFont="1" applyFill="1" applyBorder="1" applyAlignment="1" applyProtection="1">
      <alignment horizontal="center"/>
      <protection hidden="1"/>
    </xf>
    <xf numFmtId="0" fontId="33" fillId="2" borderId="1" xfId="2" applyFont="1" applyAlignment="1" applyProtection="1">
      <alignment horizontal="center" vertical="center"/>
      <protection locked="0"/>
    </xf>
    <xf numFmtId="164" fontId="33" fillId="0" borderId="1" xfId="2" applyNumberFormat="1" applyFont="1" applyFill="1" applyAlignment="1" applyProtection="1">
      <alignment horizontal="center"/>
      <protection hidden="1"/>
    </xf>
    <xf numFmtId="0" fontId="15" fillId="4" borderId="0" xfId="0" applyFont="1" applyFill="1" applyAlignment="1" applyProtection="1">
      <alignment horizontal="center"/>
      <protection hidden="1"/>
    </xf>
    <xf numFmtId="0" fontId="15" fillId="4" borderId="0" xfId="0" applyFont="1" applyFill="1" applyAlignment="1" applyProtection="1">
      <alignment horizontal="left"/>
      <protection hidden="1"/>
    </xf>
    <xf numFmtId="0" fontId="15" fillId="4" borderId="0" xfId="0" applyFont="1" applyFill="1" applyAlignment="1" applyProtection="1">
      <alignment horizontal="center" vertical="center"/>
      <protection hidden="1"/>
    </xf>
    <xf numFmtId="0" fontId="28" fillId="3" borderId="0" xfId="0" applyFont="1" applyFill="1" applyAlignment="1" applyProtection="1">
      <alignment horizontal="center"/>
      <protection hidden="1"/>
    </xf>
    <xf numFmtId="0" fontId="30" fillId="3" borderId="0" xfId="0" applyFont="1" applyFill="1" applyProtection="1">
      <protection hidden="1"/>
    </xf>
    <xf numFmtId="0" fontId="28" fillId="3" borderId="0" xfId="0" applyFont="1" applyFill="1" applyAlignment="1" applyProtection="1">
      <alignment horizontal="right"/>
      <protection hidden="1"/>
    </xf>
    <xf numFmtId="0" fontId="34" fillId="3" borderId="0" xfId="4" applyFont="1" applyFill="1" applyAlignment="1" applyProtection="1">
      <alignment horizontal="left"/>
      <protection hidden="1"/>
    </xf>
    <xf numFmtId="0" fontId="32" fillId="3" borderId="0" xfId="0" applyFont="1" applyFill="1" applyAlignment="1" applyProtection="1">
      <alignment horizontal="center"/>
      <protection hidden="1"/>
    </xf>
    <xf numFmtId="0" fontId="28" fillId="3" borderId="0" xfId="0" applyFont="1" applyFill="1" applyAlignment="1" applyProtection="1">
      <alignment horizontal="center" vertical="center"/>
      <protection hidden="1"/>
    </xf>
    <xf numFmtId="0" fontId="26" fillId="3" borderId="0" xfId="2" applyFont="1" applyFill="1" applyBorder="1" applyAlignment="1" applyProtection="1">
      <alignment horizontal="center" vertical="center"/>
      <protection hidden="1"/>
    </xf>
    <xf numFmtId="0" fontId="32" fillId="3" borderId="0" xfId="2" applyNumberFormat="1" applyFont="1" applyFill="1" applyBorder="1" applyAlignment="1" applyProtection="1">
      <alignment horizontal="center"/>
      <protection hidden="1"/>
    </xf>
    <xf numFmtId="0" fontId="15" fillId="4" borderId="0" xfId="0" applyFont="1" applyFill="1" applyAlignment="1" applyProtection="1">
      <alignment horizontal="left"/>
      <protection locked="0"/>
    </xf>
    <xf numFmtId="0" fontId="28" fillId="4" borderId="0" xfId="0" applyFont="1" applyFill="1" applyAlignment="1" applyProtection="1">
      <alignment horizontal="center"/>
      <protection hidden="1"/>
    </xf>
    <xf numFmtId="0" fontId="15" fillId="4" borderId="0" xfId="2" applyNumberFormat="1" applyFont="1" applyFill="1" applyBorder="1" applyAlignment="1" applyProtection="1">
      <alignment horizontal="center"/>
      <protection hidden="1"/>
    </xf>
    <xf numFmtId="0" fontId="29" fillId="6" borderId="6" xfId="0" applyFont="1" applyFill="1" applyBorder="1" applyAlignment="1" applyProtection="1">
      <alignment horizontal="center" vertical="center" wrapText="1"/>
      <protection hidden="1"/>
    </xf>
    <xf numFmtId="0" fontId="9" fillId="3" borderId="0" xfId="0" applyFont="1" applyFill="1" applyProtection="1">
      <protection hidden="1"/>
    </xf>
    <xf numFmtId="0" fontId="32" fillId="3" borderId="0" xfId="0" applyFont="1" applyFill="1" applyProtection="1">
      <protection hidden="1"/>
    </xf>
    <xf numFmtId="0" fontId="38" fillId="6" borderId="0" xfId="0" applyFont="1" applyFill="1" applyProtection="1">
      <protection hidden="1"/>
    </xf>
    <xf numFmtId="0" fontId="38" fillId="6" borderId="0" xfId="0" quotePrefix="1" applyFont="1" applyFill="1" applyProtection="1">
      <protection hidden="1"/>
    </xf>
    <xf numFmtId="0" fontId="17" fillId="6" borderId="0" xfId="0" applyFont="1" applyFill="1" applyProtection="1">
      <protection hidden="1"/>
    </xf>
    <xf numFmtId="0" fontId="5" fillId="6" borderId="0" xfId="6" applyFont="1" applyFill="1" applyProtection="1">
      <protection hidden="1"/>
    </xf>
    <xf numFmtId="0" fontId="39" fillId="6" borderId="0" xfId="0" applyFont="1" applyFill="1" applyProtection="1">
      <protection hidden="1"/>
    </xf>
    <xf numFmtId="0" fontId="13" fillId="6" borderId="0" xfId="5" applyFont="1" applyFill="1" applyAlignment="1" applyProtection="1">
      <alignment horizontal="left"/>
      <protection hidden="1"/>
    </xf>
    <xf numFmtId="0" fontId="41" fillId="6" borderId="0" xfId="0" applyFont="1" applyFill="1" applyProtection="1">
      <protection hidden="1"/>
    </xf>
    <xf numFmtId="0" fontId="9" fillId="6" borderId="0" xfId="0" applyFont="1" applyFill="1" applyProtection="1">
      <protection hidden="1"/>
    </xf>
    <xf numFmtId="0" fontId="37" fillId="6" borderId="0" xfId="0" applyFont="1" applyFill="1" applyProtection="1">
      <protection hidden="1"/>
    </xf>
    <xf numFmtId="0" fontId="37" fillId="6" borderId="0" xfId="0" quotePrefix="1" applyFont="1" applyFill="1" applyProtection="1">
      <protection hidden="1"/>
    </xf>
    <xf numFmtId="0" fontId="26" fillId="6" borderId="0" xfId="0" applyFont="1" applyFill="1" applyProtection="1">
      <protection hidden="1"/>
    </xf>
    <xf numFmtId="0" fontId="40" fillId="6" borderId="0" xfId="0" applyFont="1" applyFill="1" applyProtection="1">
      <protection hidden="1"/>
    </xf>
    <xf numFmtId="0" fontId="48" fillId="7" borderId="0" xfId="0" applyFont="1" applyFill="1" applyProtection="1">
      <protection hidden="1"/>
    </xf>
    <xf numFmtId="0" fontId="29" fillId="6" borderId="0" xfId="0" applyFont="1" applyFill="1" applyAlignment="1" applyProtection="1">
      <alignment horizontal="right"/>
      <protection hidden="1"/>
    </xf>
    <xf numFmtId="0" fontId="36" fillId="3" borderId="0" xfId="0" applyFont="1" applyFill="1" applyProtection="1">
      <protection hidden="1"/>
    </xf>
    <xf numFmtId="0" fontId="37" fillId="6" borderId="0" xfId="0" applyFont="1" applyFill="1" applyAlignment="1" applyProtection="1">
      <alignment horizontal="right"/>
      <protection hidden="1"/>
    </xf>
    <xf numFmtId="0" fontId="42" fillId="6" borderId="0" xfId="0" applyFont="1" applyFill="1" applyAlignment="1" applyProtection="1">
      <alignment horizontal="left" indent="2"/>
      <protection hidden="1"/>
    </xf>
    <xf numFmtId="0" fontId="44" fillId="6" borderId="0" xfId="0" applyFont="1" applyFill="1" applyAlignment="1" applyProtection="1">
      <alignment horizontal="left" indent="2"/>
      <protection hidden="1"/>
    </xf>
    <xf numFmtId="0" fontId="37" fillId="6" borderId="0" xfId="0" applyFont="1" applyFill="1" applyAlignment="1" applyProtection="1">
      <alignment horizontal="left" indent="2"/>
      <protection hidden="1"/>
    </xf>
    <xf numFmtId="0" fontId="29" fillId="6" borderId="0" xfId="0" applyFont="1" applyFill="1" applyAlignment="1" applyProtection="1">
      <alignment horizontal="left" indent="2"/>
      <protection hidden="1"/>
    </xf>
    <xf numFmtId="0" fontId="26" fillId="6" borderId="0" xfId="0" applyFont="1" applyFill="1" applyAlignment="1" applyProtection="1">
      <alignment horizontal="left" indent="2"/>
      <protection hidden="1"/>
    </xf>
    <xf numFmtId="0" fontId="9" fillId="6" borderId="0" xfId="0" applyFont="1" applyFill="1" applyAlignment="1" applyProtection="1">
      <alignment horizontal="right"/>
      <protection hidden="1"/>
    </xf>
    <xf numFmtId="0" fontId="29" fillId="7" borderId="0" xfId="0" applyFont="1" applyFill="1" applyAlignment="1" applyProtection="1">
      <alignment horizontal="center"/>
      <protection hidden="1"/>
    </xf>
    <xf numFmtId="0" fontId="37" fillId="7" borderId="0" xfId="0" quotePrefix="1" applyFont="1" applyFill="1" applyProtection="1">
      <protection hidden="1"/>
    </xf>
    <xf numFmtId="0" fontId="37" fillId="3" borderId="0" xfId="0" applyFont="1" applyFill="1" applyProtection="1">
      <protection hidden="1"/>
    </xf>
    <xf numFmtId="0" fontId="36" fillId="3" borderId="0" xfId="0" applyFont="1" applyFill="1" applyAlignment="1" applyProtection="1">
      <alignment horizontal="left" indent="2"/>
      <protection hidden="1"/>
    </xf>
    <xf numFmtId="0" fontId="32" fillId="3" borderId="0" xfId="0" applyFont="1" applyFill="1" applyAlignment="1" applyProtection="1">
      <alignment horizontal="right"/>
      <protection hidden="1"/>
    </xf>
    <xf numFmtId="0" fontId="32" fillId="3" borderId="0" xfId="0" applyFont="1" applyFill="1" applyAlignment="1" applyProtection="1">
      <alignment horizontal="left" indent="2"/>
      <protection hidden="1"/>
    </xf>
    <xf numFmtId="0" fontId="7" fillId="3" borderId="0" xfId="0" applyFont="1" applyFill="1" applyAlignment="1" applyProtection="1">
      <alignment horizontal="right"/>
      <protection hidden="1"/>
    </xf>
    <xf numFmtId="0" fontId="33" fillId="3" borderId="0" xfId="0" applyFont="1" applyFill="1" applyProtection="1">
      <protection hidden="1"/>
    </xf>
    <xf numFmtId="0" fontId="52" fillId="0" borderId="1" xfId="2" applyFont="1" applyFill="1" applyAlignment="1" applyProtection="1">
      <alignment horizontal="center"/>
      <protection hidden="1"/>
    </xf>
    <xf numFmtId="0" fontId="52" fillId="2" borderId="1" xfId="2" applyFont="1" applyAlignment="1" applyProtection="1">
      <alignment horizontal="center"/>
      <protection hidden="1"/>
    </xf>
    <xf numFmtId="0" fontId="27" fillId="3" borderId="16" xfId="0" applyFont="1" applyFill="1" applyBorder="1" applyAlignment="1" applyProtection="1">
      <alignment horizontal="center" vertical="center"/>
      <protection hidden="1"/>
    </xf>
    <xf numFmtId="0" fontId="27" fillId="3" borderId="15" xfId="0" applyFont="1" applyFill="1" applyBorder="1" applyAlignment="1" applyProtection="1">
      <alignment horizontal="center" vertical="center"/>
      <protection hidden="1"/>
    </xf>
    <xf numFmtId="0" fontId="27" fillId="3" borderId="0" xfId="0" applyFont="1" applyFill="1" applyAlignment="1" applyProtection="1">
      <alignment horizontal="center" vertical="center"/>
      <protection hidden="1"/>
    </xf>
    <xf numFmtId="0" fontId="27" fillId="3" borderId="19" xfId="0" applyFont="1" applyFill="1" applyBorder="1" applyAlignment="1" applyProtection="1">
      <alignment horizontal="center" vertical="center"/>
      <protection hidden="1"/>
    </xf>
    <xf numFmtId="0" fontId="27" fillId="3" borderId="24" xfId="0" applyFont="1" applyFill="1" applyBorder="1" applyAlignment="1" applyProtection="1">
      <alignment horizontal="center" vertical="center"/>
      <protection hidden="1"/>
    </xf>
    <xf numFmtId="0" fontId="27" fillId="3" borderId="20" xfId="0" applyFont="1" applyFill="1" applyBorder="1" applyAlignment="1" applyProtection="1">
      <alignment horizontal="center" vertical="center"/>
      <protection hidden="1"/>
    </xf>
    <xf numFmtId="0" fontId="24" fillId="4" borderId="0" xfId="0" applyFont="1" applyFill="1" applyAlignment="1" applyProtection="1">
      <alignment horizontal="left" wrapText="1"/>
      <protection hidden="1"/>
    </xf>
    <xf numFmtId="0" fontId="29" fillId="6" borderId="3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0" fontId="35" fillId="3" borderId="21" xfId="0" applyFont="1" applyFill="1" applyBorder="1" applyAlignment="1" applyProtection="1">
      <alignment horizontal="center" vertical="center" wrapText="1"/>
      <protection hidden="1"/>
    </xf>
    <xf numFmtId="0" fontId="35" fillId="3" borderId="16" xfId="0" applyFont="1" applyFill="1" applyBorder="1" applyAlignment="1" applyProtection="1">
      <alignment horizontal="center" vertical="center" wrapText="1"/>
      <protection hidden="1"/>
    </xf>
    <xf numFmtId="0" fontId="35" fillId="3" borderId="17" xfId="0" applyFont="1" applyFill="1" applyBorder="1" applyAlignment="1" applyProtection="1">
      <alignment horizontal="center" vertical="center" wrapText="1"/>
      <protection hidden="1"/>
    </xf>
    <xf numFmtId="0" fontId="35" fillId="3" borderId="0" xfId="0" applyFont="1" applyFill="1" applyAlignment="1" applyProtection="1">
      <alignment horizontal="center" vertical="center" wrapText="1"/>
      <protection hidden="1"/>
    </xf>
    <xf numFmtId="0" fontId="35" fillId="3" borderId="18" xfId="0" applyFont="1" applyFill="1" applyBorder="1" applyAlignment="1" applyProtection="1">
      <alignment horizontal="center" vertical="center" wrapText="1"/>
      <protection hidden="1"/>
    </xf>
    <xf numFmtId="0" fontId="35" fillId="3" borderId="24" xfId="0" applyFont="1" applyFill="1" applyBorder="1" applyAlignment="1" applyProtection="1">
      <alignment horizontal="center" vertical="center" wrapText="1"/>
      <protection hidden="1"/>
    </xf>
    <xf numFmtId="0" fontId="29" fillId="6" borderId="2" xfId="0" applyFont="1" applyFill="1" applyBorder="1" applyAlignment="1">
      <alignment horizontal="center" vertical="center" wrapText="1"/>
    </xf>
    <xf numFmtId="0" fontId="22" fillId="5" borderId="0" xfId="5" applyFont="1" applyBorder="1" applyAlignment="1" applyProtection="1">
      <alignment horizontal="center" vertical="center" wrapText="1"/>
      <protection hidden="1"/>
    </xf>
    <xf numFmtId="0" fontId="27" fillId="3" borderId="2" xfId="0" applyFont="1" applyFill="1" applyBorder="1" applyAlignment="1" applyProtection="1">
      <alignment horizontal="center" vertical="center"/>
      <protection hidden="1"/>
    </xf>
    <xf numFmtId="0" fontId="27" fillId="3" borderId="3" xfId="0" applyFont="1" applyFill="1" applyBorder="1" applyAlignment="1" applyProtection="1">
      <alignment horizontal="center" vertical="center"/>
      <protection hidden="1"/>
    </xf>
    <xf numFmtId="0" fontId="27" fillId="3" borderId="4" xfId="0" applyFont="1" applyFill="1" applyBorder="1" applyAlignment="1" applyProtection="1">
      <alignment horizontal="center" vertical="center"/>
      <protection hidden="1"/>
    </xf>
    <xf numFmtId="0" fontId="35" fillId="3" borderId="7" xfId="0" applyFont="1" applyFill="1" applyBorder="1" applyAlignment="1" applyProtection="1">
      <alignment horizontal="center" vertical="center" wrapText="1"/>
      <protection hidden="1"/>
    </xf>
    <xf numFmtId="0" fontId="35" fillId="3" borderId="8" xfId="0" applyFont="1" applyFill="1" applyBorder="1" applyAlignment="1" applyProtection="1">
      <alignment horizontal="center" vertical="center" wrapText="1"/>
      <protection hidden="1"/>
    </xf>
    <xf numFmtId="0" fontId="35" fillId="3" borderId="10" xfId="0" applyFont="1" applyFill="1" applyBorder="1" applyAlignment="1" applyProtection="1">
      <alignment horizontal="center" vertical="center" wrapText="1"/>
      <protection hidden="1"/>
    </xf>
    <xf numFmtId="0" fontId="35" fillId="3" borderId="12" xfId="0" applyFont="1" applyFill="1" applyBorder="1" applyAlignment="1" applyProtection="1">
      <alignment horizontal="center" vertical="center" wrapText="1"/>
      <protection hidden="1"/>
    </xf>
    <xf numFmtId="0" fontId="35" fillId="3" borderId="13" xfId="0" applyFont="1" applyFill="1" applyBorder="1" applyAlignment="1" applyProtection="1">
      <alignment horizontal="center" vertical="center" wrapText="1"/>
      <protection hidden="1"/>
    </xf>
    <xf numFmtId="0" fontId="27" fillId="3" borderId="8" xfId="0" applyFont="1" applyFill="1" applyBorder="1" applyAlignment="1" applyProtection="1">
      <alignment horizontal="center" vertical="center"/>
      <protection hidden="1"/>
    </xf>
    <xf numFmtId="0" fontId="27" fillId="3" borderId="9" xfId="0" applyFont="1" applyFill="1" applyBorder="1" applyAlignment="1" applyProtection="1">
      <alignment horizontal="center" vertical="center"/>
      <protection hidden="1"/>
    </xf>
    <xf numFmtId="0" fontId="27" fillId="3" borderId="11" xfId="0" applyFont="1" applyFill="1" applyBorder="1" applyAlignment="1" applyProtection="1">
      <alignment horizontal="center" vertical="center"/>
      <protection hidden="1"/>
    </xf>
    <xf numFmtId="0" fontId="27" fillId="3" borderId="13" xfId="0" applyFont="1" applyFill="1" applyBorder="1" applyAlignment="1" applyProtection="1">
      <alignment horizontal="center" vertical="center"/>
      <protection hidden="1"/>
    </xf>
    <xf numFmtId="0" fontId="27" fillId="3" borderId="14" xfId="0" applyFont="1" applyFill="1" applyBorder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horizontal="center"/>
      <protection hidden="1"/>
    </xf>
    <xf numFmtId="0" fontId="22" fillId="5" borderId="27" xfId="5" applyFont="1" applyBorder="1" applyAlignment="1" applyProtection="1">
      <alignment horizontal="center" vertical="center" wrapText="1"/>
      <protection hidden="1"/>
    </xf>
    <xf numFmtId="0" fontId="22" fillId="5" borderId="28" xfId="5" applyFont="1" applyBorder="1" applyAlignment="1" applyProtection="1">
      <alignment horizontal="center" vertical="center" wrapText="1"/>
      <protection hidden="1"/>
    </xf>
    <xf numFmtId="0" fontId="22" fillId="5" borderId="29" xfId="5" applyFont="1" applyBorder="1" applyAlignment="1" applyProtection="1">
      <alignment horizontal="center" vertical="center" wrapText="1"/>
      <protection hidden="1"/>
    </xf>
    <xf numFmtId="0" fontId="22" fillId="5" borderId="30" xfId="5" applyFont="1" applyBorder="1" applyAlignment="1" applyProtection="1">
      <alignment horizontal="center" vertical="center" wrapText="1"/>
      <protection hidden="1"/>
    </xf>
    <xf numFmtId="0" fontId="22" fillId="5" borderId="31" xfId="5" applyFont="1" applyBorder="1" applyAlignment="1" applyProtection="1">
      <alignment horizontal="center" vertical="center" wrapText="1"/>
      <protection hidden="1"/>
    </xf>
    <xf numFmtId="0" fontId="23" fillId="3" borderId="32" xfId="2" applyFont="1" applyFill="1" applyBorder="1" applyAlignment="1" applyProtection="1">
      <alignment horizontal="center" vertical="center"/>
      <protection locked="0"/>
    </xf>
    <xf numFmtId="0" fontId="23" fillId="3" borderId="1" xfId="2" applyFont="1" applyFill="1" applyBorder="1" applyAlignment="1" applyProtection="1">
      <alignment horizontal="center" vertical="center"/>
      <protection locked="0"/>
    </xf>
    <xf numFmtId="0" fontId="23" fillId="3" borderId="33" xfId="2" applyFont="1" applyFill="1" applyBorder="1" applyAlignment="1" applyProtection="1">
      <alignment horizontal="center" vertical="center"/>
      <protection locked="0"/>
    </xf>
    <xf numFmtId="0" fontId="23" fillId="3" borderId="34" xfId="2" applyFont="1" applyFill="1" applyBorder="1" applyAlignment="1" applyProtection="1">
      <alignment horizontal="center" vertical="center"/>
      <protection locked="0"/>
    </xf>
    <xf numFmtId="0" fontId="23" fillId="3" borderId="35" xfId="2" applyFont="1" applyFill="1" applyBorder="1" applyAlignment="1" applyProtection="1">
      <alignment horizontal="center" vertical="center"/>
      <protection locked="0"/>
    </xf>
    <xf numFmtId="0" fontId="23" fillId="3" borderId="36" xfId="2" applyFont="1" applyFill="1" applyBorder="1" applyAlignment="1" applyProtection="1">
      <alignment horizontal="center" vertical="center"/>
      <protection locked="0"/>
    </xf>
    <xf numFmtId="165" fontId="16" fillId="2" borderId="26" xfId="2" applyNumberFormat="1" applyFont="1" applyBorder="1" applyAlignment="1" applyProtection="1">
      <alignment horizontal="center"/>
      <protection locked="0"/>
    </xf>
    <xf numFmtId="165" fontId="16" fillId="2" borderId="5" xfId="2" applyNumberFormat="1" applyFont="1" applyBorder="1" applyAlignment="1" applyProtection="1">
      <alignment horizontal="center"/>
      <protection locked="0"/>
    </xf>
    <xf numFmtId="165" fontId="16" fillId="2" borderId="22" xfId="2" applyNumberFormat="1" applyFont="1" applyBorder="1" applyAlignment="1" applyProtection="1">
      <alignment horizontal="center"/>
      <protection locked="0"/>
    </xf>
    <xf numFmtId="165" fontId="16" fillId="2" borderId="1" xfId="2" applyNumberFormat="1" applyFont="1" applyAlignment="1" applyProtection="1">
      <alignment horizontal="center"/>
      <protection locked="0"/>
    </xf>
    <xf numFmtId="165" fontId="16" fillId="2" borderId="23" xfId="2" applyNumberFormat="1" applyFont="1" applyBorder="1" applyAlignment="1" applyProtection="1">
      <alignment horizontal="center"/>
      <protection locked="0"/>
    </xf>
    <xf numFmtId="165" fontId="16" fillId="2" borderId="25" xfId="2" applyNumberFormat="1" applyFont="1" applyBorder="1" applyAlignment="1" applyProtection="1">
      <alignment horizontal="center"/>
      <protection locked="0"/>
    </xf>
    <xf numFmtId="165" fontId="16" fillId="0" borderId="0" xfId="0" applyNumberFormat="1" applyFont="1" applyAlignment="1" applyProtection="1">
      <alignment horizontal="center"/>
      <protection hidden="1"/>
    </xf>
    <xf numFmtId="165" fontId="16" fillId="0" borderId="19" xfId="0" applyNumberFormat="1" applyFont="1" applyBorder="1" applyAlignment="1" applyProtection="1">
      <alignment horizontal="center"/>
      <protection hidden="1"/>
    </xf>
    <xf numFmtId="165" fontId="16" fillId="0" borderId="24" xfId="0" applyNumberFormat="1" applyFont="1" applyBorder="1" applyAlignment="1" applyProtection="1">
      <alignment horizontal="center"/>
      <protection hidden="1"/>
    </xf>
    <xf numFmtId="165" fontId="16" fillId="0" borderId="20" xfId="0" applyNumberFormat="1" applyFont="1" applyBorder="1" applyAlignment="1" applyProtection="1">
      <alignment horizontal="center"/>
      <protection hidden="1"/>
    </xf>
    <xf numFmtId="166" fontId="26" fillId="3" borderId="0" xfId="0" applyNumberFormat="1" applyFont="1" applyFill="1" applyAlignment="1" applyProtection="1">
      <alignment horizontal="left"/>
      <protection hidden="1"/>
    </xf>
    <xf numFmtId="165" fontId="16" fillId="2" borderId="37" xfId="2" applyNumberFormat="1" applyFont="1" applyBorder="1" applyAlignment="1" applyProtection="1">
      <alignment horizontal="center"/>
      <protection locked="0"/>
    </xf>
    <xf numFmtId="165" fontId="52" fillId="0" borderId="1" xfId="2" applyNumberFormat="1" applyFont="1" applyFill="1" applyAlignment="1" applyProtection="1">
      <alignment horizontal="center"/>
      <protection hidden="1"/>
    </xf>
  </cellXfs>
  <cellStyles count="7">
    <cellStyle name="Accent1" xfId="5" builtinId="29"/>
    <cellStyle name="Explanatory Text" xfId="4" builtinId="53"/>
    <cellStyle name="Hyperlink" xfId="6" builtinId="8"/>
    <cellStyle name="Normal" xfId="0" builtinId="0"/>
    <cellStyle name="Normal 2" xfId="3" xr:uid="{27AD7C9A-CCFD-4FFE-8554-88EB456D2C1F}"/>
    <cellStyle name="Note" xfId="2" builtinId="10"/>
    <cellStyle name="Percent" xfId="1" builtinId="5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olas"/>
        <family val="3"/>
        <scheme val="none"/>
      </font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151B25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51B25"/>
        <name val="Consolas"/>
        <family val="3"/>
        <scheme val="none"/>
      </font>
      <numFmt numFmtId="165" formatCode="0.000"/>
      <alignment horizontal="center" vertical="bottom" textRotation="0" wrapText="0" indent="0" justifyLastLine="0" shrinkToFit="0" readingOrder="0"/>
      <border outline="0">
        <right style="thin">
          <color rgb="FFB2B2B2"/>
        </right>
      </border>
      <protection locked="0" hidden="0"/>
    </dxf>
    <dxf>
      <fill>
        <patternFill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51B25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onsolas"/>
        <family val="3"/>
        <scheme val="none"/>
      </font>
      <fill>
        <patternFill patternType="solid">
          <fgColor indexed="64"/>
          <bgColor rgb="FF151B25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numFmt numFmtId="164" formatCode="0.0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numFmt numFmtId="164" formatCode="0.0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numFmt numFmtId="164" formatCode="0.0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numFmt numFmtId="164" formatCode="0.0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border outline="0">
        <top style="thin">
          <color rgb="FFB2B2B2"/>
        </top>
      </border>
    </dxf>
    <dxf>
      <border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onsolas"/>
        <family val="3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0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1"/>
    </dxf>
  </dxfs>
  <tableStyles count="0" defaultTableStyle="TableStyleMedium2" defaultPivotStyle="PivotStyleLight16"/>
  <colors>
    <mruColors>
      <color rgb="FF151B2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41FA5DF-3D55-4F1A-BEC3-FED8075C11A2}" name="PROFILE_DATA" displayName="PROFILE_DATA" ref="B17:Q24" totalsRowShown="0" headerRowDxfId="26" dataDxfId="24" headerRowBorderDxfId="25" tableBorderDxfId="23" totalsRowBorderDxfId="22" headerRowCellStyle="Accent1" dataCellStyle="Note">
  <autoFilter ref="B17:Q24" xr:uid="{EEFAB8D6-3A27-4FEC-87E8-3A577C731C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1BBF9D25-B647-4B9D-9228-E0778135B1D6}" name="Segment Number" dataDxfId="21" dataCellStyle="Note"/>
    <tableColumn id="2" xr3:uid="{5745FF70-B9FA-4D61-B540-DBEC79CBFC06}" name="Segment Type" dataDxfId="20" dataCellStyle="Note"/>
    <tableColumn id="3" xr3:uid="{7EB6EE81-BB5A-44F7-AFDC-EF28214E2515}" name="PVC _x000a_[STATION]" dataDxfId="19" dataCellStyle="Note"/>
    <tableColumn id="4" xr3:uid="{147A0C8A-FDA8-4FFA-BCF7-B785E41E7A12}" name="PVC _x000a_[ELEVATION]" dataDxfId="18" dataCellStyle="Note"/>
    <tableColumn id="5" xr3:uid="{6245DCA0-AD30-4987-9F87-A3000EA617D6}" name="PVI_x000a_[STATION]" dataDxfId="17" dataCellStyle="Note"/>
    <tableColumn id="6" xr3:uid="{AE2F0DD1-3971-4910-AAAC-8C62C9514A0E}" name="PVI_x000a_[ELEVATION]" dataDxfId="16" dataCellStyle="Note"/>
    <tableColumn id="7" xr3:uid="{E378CCB2-FFB0-4811-B598-21EBD8ABB2A0}" name="PVT_x000a_[STATION]" dataDxfId="15" dataCellStyle="Note"/>
    <tableColumn id="8" xr3:uid="{39284C8E-B7B4-4684-ADDA-1A6916C5229E}" name="PVT_x000a_[ELEVATION]" dataDxfId="14" dataCellStyle="Note"/>
    <tableColumn id="9" xr3:uid="{38A837BC-DD06-426D-BE3B-57B0CE294263}" name="G1" dataDxfId="13" dataCellStyle="Note">
      <calculatedColumnFormula>IF(AND(PROFILE_DATA[[#This Row],[PVI
'[STATION']]]="",PROFILE_DATA[[#This Row],[Segment Type]]=""),"",IFERROR(IF(PROFILE_DATA[[#This Row],[Segment Type]]="Straight",((PROFILE_DATA[[#This Row],[PVT
'[ELEVATION']]]-PROFILE_DATA[[#This Row],[PVC 
'[ELEVATION']]])/(PROFILE_DATA[[#This Row],[PVT
'[STATION']]]-PROFILE_DATA[[#This Row],[PVC 
'[STATION']]])),((PROFILE_DATA[[#This Row],[PVI
'[ELEVATION']]]-PROFILE_DATA[[#This Row],[PVC 
'[ELEVATION']]])/(PROFILE_DATA[[#This Row],[PVI
'[STATION']]]-PROFILE_DATA[[#This Row],[PVC 
'[STATION']]]))),""))</calculatedColumnFormula>
    </tableColumn>
    <tableColumn id="10" xr3:uid="{C2B1D072-FD74-4E68-9AED-8E68CAD7DE03}" name="G2" dataDxfId="12" dataCellStyle="Note">
      <calculatedColumnFormula>IF(PROFILE_DATA[[#This Row],[Segment Type]]="Straight","",IF(OR(PROFILE_DATA[[#This Row],[PVI
'[STATION']]]="",PROFILE_DATA[[#This Row],[PVI
'[ELEVATION']]]="",PROFILE_DATA[[#This Row],[Segment Type]]=""),"",(PROFILE_DATA[[#This Row],[PVT
'[ELEVATION']]]-PROFILE_DATA[[#This Row],[PVI
'[ELEVATION']]])/(PROFILE_DATA[[#This Row],[PVT
'[STATION']]]-PROFILE_DATA[[#This Row],[PVI
'[STATION']]])))</calculatedColumnFormula>
    </tableColumn>
    <tableColumn id="11" xr3:uid="{442AF41C-C3BC-40EB-B3E1-F62A028E6E26}" name="L" dataDxfId="11" dataCellStyle="Note">
      <calculatedColumnFormula>IF(PROFILE_DATA[[#This Row],[Segment Type]]="","",IFERROR(PROFILE_DATA[[#This Row],[PVT
'[STATION']]]-PROFILE_DATA[[#This Row],[PVC 
'[STATION']]],""))</calculatedColumnFormula>
    </tableColumn>
    <tableColumn id="12" xr3:uid="{CDEE8FD6-4F46-4034-8CA0-1806641E5D78}" name="A (difference)" dataDxfId="10" dataCellStyle="Note">
      <calculatedColumnFormula>IFERROR(ABS(PROFILE_DATA[[#This Row],[G2]]-PROFILE_DATA[[#This Row],[G1]]),"")</calculatedColumnFormula>
    </tableColumn>
    <tableColumn id="13" xr3:uid="{46808863-9036-4CCC-8DBE-F0493BB61265}" name="E" dataDxfId="9" dataCellStyle="Note">
      <calculatedColumnFormula>IFERROR(((PROFILE_DATA[[#This Row],[A (difference)]]*PROFILE_DATA[[#This Row],[L]])/8),"")</calculatedColumnFormula>
    </tableColumn>
    <tableColumn id="14" xr3:uid="{C76738BE-66D6-4F5D-B416-3E4E164CEA47}" name="K" dataDxfId="8" dataCellStyle="Note">
      <calculatedColumnFormula>IFERROR(PROFILE_DATA[[#This Row],[L]]/PROFILE_DATA[[#This Row],[A (difference)]],"")</calculatedColumnFormula>
    </tableColumn>
    <tableColumn id="15" xr3:uid="{D1604131-E0EE-4CD0-99B1-7EE8940E8AB3}" name="a" dataDxfId="7" dataCellStyle="Note">
      <calculatedColumnFormula>IFERROR((PROFILE_DATA[[#This Row],[G2]]-PROFILE_DATA[[#This Row],[G1]])/(2*PROFILE_DATA[[#This Row],[L]]),"")</calculatedColumnFormula>
    </tableColumn>
    <tableColumn id="16" xr3:uid="{54D50D25-364A-4E72-BC3A-829E7506DCE1}" name="b" dataDxfId="6" dataCellStyle="Note">
      <calculatedColumnFormula>PROFILE_DATA[[#This Row],[G1]]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43F73B4-F593-4F25-94A0-8283A85CAB8A}" name="Station_Elevation" displayName="Station_Elevation" ref="D28:E38" totalsRowShown="0" headerRowDxfId="5" dataDxfId="4" tableBorderDxfId="3" headerRowCellStyle="Note">
  <tableColumns count="2">
    <tableColumn id="2" xr3:uid="{74314199-DA9C-40DD-BE1E-4A8EA4A8503A}" name="Station" dataDxfId="1" dataCellStyle="Note">
      <calculatedColumnFormula>D18</calculatedColumnFormula>
    </tableColumn>
    <tableColumn id="5" xr3:uid="{2E69E29D-03E4-43DC-9A48-8381EF7BFF18}" name="Alignment Elevation" dataDxfId="0" dataCellStyle="Note">
      <calculatedColumnFormula array="1">_xlfn.LET(
   _xlpm.stn, Station_Elevation[[#This Row],[Station]],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calculatedColumnFormula>
    </tableColumn>
  </tableColumns>
  <tableStyleInfo name="TableStyleLight8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mbi-shee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1B25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08EB69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uhammadbayoumi" TargetMode="External"/><Relationship Id="rId2" Type="http://schemas.openxmlformats.org/officeDocument/2006/relationships/hyperlink" Target="https://www.linkedin.com/in/muhammad-bayoumi-ali" TargetMode="External"/><Relationship Id="rId1" Type="http://schemas.openxmlformats.org/officeDocument/2006/relationships/hyperlink" Target="mailto:muhammad.bayoumi.ali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8559-C52B-47C9-A405-B93AC1488900}">
  <sheetPr codeName="Sheet1">
    <tabColor theme="0" tint="-4.9989318521683403E-2"/>
    <pageSetUpPr fitToPage="1"/>
  </sheetPr>
  <dimension ref="A1:DZ899"/>
  <sheetViews>
    <sheetView zoomScale="85" zoomScaleNormal="85" workbookViewId="0">
      <selection activeCell="BN20" sqref="BN20"/>
    </sheetView>
  </sheetViews>
  <sheetFormatPr defaultRowHeight="15" x14ac:dyDescent="0.25"/>
  <cols>
    <col min="1" max="3" width="9.140625" style="8"/>
    <col min="4" max="4" width="5.42578125" style="8" customWidth="1"/>
    <col min="5" max="19" width="9.140625" style="8"/>
    <col min="20" max="26" width="9.140625" style="10"/>
    <col min="27" max="27" width="8.7109375" style="11" customWidth="1"/>
    <col min="28" max="28" width="9.7109375" style="11" customWidth="1"/>
    <col min="29" max="29" width="7.28515625" style="11" customWidth="1"/>
    <col min="30" max="46" width="9.140625" style="11"/>
    <col min="47" max="52" width="8.7109375" style="11" customWidth="1"/>
    <col min="53" max="53" width="3.7109375" style="12" customWidth="1"/>
    <col min="54" max="54" width="9.140625" style="12"/>
    <col min="55" max="55" width="9.140625" style="12" customWidth="1"/>
    <col min="56" max="56" width="10" style="12" customWidth="1"/>
    <col min="57" max="58" width="9.140625" style="12"/>
    <col min="59" max="59" width="11" style="12" customWidth="1"/>
    <col min="60" max="78" width="9.140625" style="12"/>
    <col min="79" max="104" width="9.140625" style="8"/>
    <col min="105" max="130" width="9.140625" style="13"/>
    <col min="131" max="16384" width="9.140625" style="12"/>
  </cols>
  <sheetData>
    <row r="1" spans="1:130" s="6" customFormat="1" ht="58.5" customHeight="1" x14ac:dyDescent="0.65">
      <c r="A1" s="2"/>
      <c r="B1" s="68" t="s">
        <v>117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  <c r="AA1" s="5"/>
      <c r="AB1" s="5" t="s">
        <v>89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B1" s="6" t="s">
        <v>35</v>
      </c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</row>
    <row r="2" spans="1:130" ht="15.75" x14ac:dyDescent="0.25">
      <c r="B2" s="9"/>
      <c r="C2" s="69" t="s">
        <v>118</v>
      </c>
      <c r="AB2" s="11" t="s">
        <v>104</v>
      </c>
      <c r="AC2" s="75"/>
      <c r="BC2" s="23" t="s">
        <v>39</v>
      </c>
    </row>
    <row r="3" spans="1:130" x14ac:dyDescent="0.25">
      <c r="AB3" s="75"/>
    </row>
    <row r="4" spans="1:130" s="15" customFormat="1" ht="18.75" x14ac:dyDescent="0.3">
      <c r="A4" s="14"/>
      <c r="B4" s="14"/>
      <c r="C4" s="67" t="s">
        <v>119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8"/>
      <c r="V4" s="8"/>
      <c r="W4" s="8"/>
      <c r="X4" s="10"/>
      <c r="Y4" s="8"/>
      <c r="Z4" s="8"/>
      <c r="AA4" s="11"/>
      <c r="AB4" s="70"/>
      <c r="AC4" s="70"/>
      <c r="AD4" s="70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70"/>
      <c r="AS4" s="70"/>
      <c r="AT4" s="70"/>
      <c r="AU4" s="70"/>
      <c r="AV4" s="70"/>
      <c r="AW4" s="70"/>
      <c r="AX4" s="70"/>
      <c r="AY4" s="70"/>
      <c r="AZ4" s="11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</row>
    <row r="5" spans="1:130" x14ac:dyDescent="0.25">
      <c r="C5" s="17" t="s">
        <v>69</v>
      </c>
      <c r="AB5" s="79" t="s">
        <v>105</v>
      </c>
      <c r="AC5" s="78"/>
      <c r="AD5" s="70"/>
      <c r="AE5" s="71"/>
      <c r="AF5" s="71"/>
      <c r="AG5" s="71"/>
      <c r="AH5" s="8"/>
      <c r="AI5" s="71"/>
      <c r="AJ5" s="71"/>
      <c r="AK5" s="71"/>
      <c r="AL5" s="71"/>
      <c r="AM5" s="71"/>
      <c r="AN5" s="71"/>
      <c r="AO5" s="71"/>
      <c r="AP5" s="71"/>
      <c r="AQ5" s="71"/>
      <c r="AR5" s="70"/>
      <c r="AS5" s="70"/>
      <c r="AT5" s="70"/>
      <c r="AU5" s="70"/>
      <c r="AV5" s="70"/>
      <c r="AW5" s="70"/>
      <c r="AX5" s="70"/>
      <c r="AY5" s="70"/>
      <c r="BB5" s="24" t="s">
        <v>41</v>
      </c>
      <c r="BC5" s="12" t="s">
        <v>40</v>
      </c>
    </row>
    <row r="6" spans="1:130" x14ac:dyDescent="0.25">
      <c r="C6" s="17"/>
      <c r="D6" s="8" t="s">
        <v>29</v>
      </c>
      <c r="AB6" s="80" t="s">
        <v>121</v>
      </c>
      <c r="AC6" s="78"/>
      <c r="AD6" s="70"/>
      <c r="AE6" s="71" t="s">
        <v>71</v>
      </c>
      <c r="AF6" s="71"/>
      <c r="AG6" s="71"/>
      <c r="AH6" s="8"/>
      <c r="AI6" s="71"/>
      <c r="AJ6" s="77" t="s">
        <v>18</v>
      </c>
      <c r="AK6" s="62"/>
      <c r="AL6" s="62"/>
      <c r="AM6" s="31"/>
      <c r="AN6" s="62"/>
      <c r="AO6" s="62"/>
      <c r="AP6" s="62"/>
      <c r="AQ6" s="62"/>
      <c r="AR6" s="62"/>
      <c r="AS6" s="61"/>
      <c r="AT6" s="61"/>
      <c r="AU6" s="61"/>
      <c r="AV6" s="61"/>
      <c r="AW6" s="61"/>
      <c r="AX6" s="61"/>
      <c r="AY6" s="70"/>
      <c r="BB6" s="24" t="s">
        <v>42</v>
      </c>
      <c r="BC6" s="12" t="s">
        <v>46</v>
      </c>
    </row>
    <row r="7" spans="1:130" x14ac:dyDescent="0.25">
      <c r="C7" s="17"/>
      <c r="D7" s="8" t="s">
        <v>28</v>
      </c>
      <c r="AB7" s="80" t="s">
        <v>19</v>
      </c>
      <c r="AC7" s="78"/>
      <c r="AD7" s="70"/>
      <c r="AE7" s="71" t="s">
        <v>72</v>
      </c>
      <c r="AF7" s="71"/>
      <c r="AG7" s="71"/>
      <c r="AH7" s="8"/>
      <c r="AI7" s="71"/>
      <c r="AJ7" s="62" t="s">
        <v>92</v>
      </c>
      <c r="AK7" s="62"/>
      <c r="AL7" s="62"/>
      <c r="AM7" s="31"/>
      <c r="AN7" s="62"/>
      <c r="AO7" s="62"/>
      <c r="AP7" s="62"/>
      <c r="AQ7" s="62"/>
      <c r="AR7" s="62"/>
      <c r="AS7" s="61"/>
      <c r="AT7" s="61"/>
      <c r="AU7" s="61"/>
      <c r="AV7" s="61"/>
      <c r="AW7" s="61"/>
      <c r="AX7" s="61"/>
      <c r="AY7" s="70"/>
      <c r="BB7" s="24" t="s">
        <v>43</v>
      </c>
      <c r="BC7" s="12" t="s">
        <v>49</v>
      </c>
    </row>
    <row r="8" spans="1:130" x14ac:dyDescent="0.25">
      <c r="C8" s="17"/>
      <c r="E8" s="8" t="s">
        <v>34</v>
      </c>
      <c r="AB8" s="81"/>
      <c r="AC8" s="78"/>
      <c r="AD8" s="70"/>
      <c r="AE8" s="71"/>
      <c r="AF8" s="71"/>
      <c r="AG8" s="71"/>
      <c r="AH8" s="8"/>
      <c r="AI8" s="71"/>
      <c r="AJ8" s="62" t="s">
        <v>91</v>
      </c>
      <c r="AK8" s="62"/>
      <c r="AL8" s="62"/>
      <c r="AM8" s="31"/>
      <c r="AN8" s="62"/>
      <c r="AO8" s="62"/>
      <c r="AP8" s="62"/>
      <c r="AQ8" s="62"/>
      <c r="AR8" s="62"/>
      <c r="AS8" s="61"/>
      <c r="AT8" s="61"/>
      <c r="AU8" s="61"/>
      <c r="AV8" s="61"/>
      <c r="AW8" s="61"/>
      <c r="AX8" s="61"/>
      <c r="AY8" s="70"/>
      <c r="BC8" s="26" t="s">
        <v>50</v>
      </c>
    </row>
    <row r="9" spans="1:130" x14ac:dyDescent="0.25">
      <c r="C9" s="17"/>
      <c r="E9" s="8" t="s">
        <v>33</v>
      </c>
      <c r="AB9" s="82" t="s">
        <v>18</v>
      </c>
      <c r="AC9" s="84"/>
      <c r="AD9" s="70"/>
      <c r="AE9" s="70"/>
      <c r="AF9" s="73"/>
      <c r="AG9" s="73"/>
      <c r="AH9" s="8"/>
      <c r="AI9" s="71"/>
      <c r="AJ9" s="62" t="s">
        <v>90</v>
      </c>
      <c r="AK9" s="62"/>
      <c r="AL9" s="62"/>
      <c r="AM9" s="31"/>
      <c r="AN9" s="62"/>
      <c r="AO9" s="62"/>
      <c r="AP9" s="62"/>
      <c r="AQ9" s="62"/>
      <c r="AR9" s="62"/>
      <c r="AS9" s="61"/>
      <c r="AT9" s="61"/>
      <c r="AU9" s="61"/>
      <c r="AV9" s="61"/>
      <c r="AW9" s="61"/>
      <c r="AX9" s="61"/>
      <c r="AY9" s="70"/>
      <c r="BC9" s="25" t="s">
        <v>53</v>
      </c>
      <c r="BD9" s="12" t="s">
        <v>47</v>
      </c>
    </row>
    <row r="10" spans="1:130" x14ac:dyDescent="0.25">
      <c r="C10" s="17"/>
      <c r="D10" s="18" t="s">
        <v>30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AB10" s="83" t="s">
        <v>96</v>
      </c>
      <c r="AC10" s="84"/>
      <c r="AD10" s="70"/>
      <c r="AE10" s="70"/>
      <c r="AF10" s="73"/>
      <c r="AG10" s="73"/>
      <c r="AH10" s="8"/>
      <c r="AI10" s="71"/>
      <c r="AJ10" s="62" t="s">
        <v>93</v>
      </c>
      <c r="AK10" s="62"/>
      <c r="AL10" s="62"/>
      <c r="AM10" s="31"/>
      <c r="AN10" s="62"/>
      <c r="AO10" s="62"/>
      <c r="AP10" s="62"/>
      <c r="AQ10" s="62"/>
      <c r="AR10" s="62"/>
      <c r="AS10" s="61"/>
      <c r="AT10" s="61"/>
      <c r="AU10" s="61"/>
      <c r="AV10" s="61"/>
      <c r="AW10" s="61"/>
      <c r="AX10" s="61"/>
      <c r="AY10" s="70"/>
      <c r="BB10" s="24"/>
      <c r="BC10" s="25" t="s">
        <v>53</v>
      </c>
      <c r="BD10" s="12" t="s">
        <v>48</v>
      </c>
    </row>
    <row r="11" spans="1:130" x14ac:dyDescent="0.25">
      <c r="C11" s="17"/>
      <c r="E11" s="20" t="s">
        <v>31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AB11" s="83" t="s">
        <v>97</v>
      </c>
      <c r="AC11" s="84"/>
      <c r="AD11" s="70"/>
      <c r="AE11" s="70"/>
      <c r="AF11" s="73"/>
      <c r="AG11" s="73"/>
      <c r="AH11" s="8"/>
      <c r="AI11" s="71"/>
      <c r="AJ11" s="62" t="s">
        <v>94</v>
      </c>
      <c r="AK11" s="62"/>
      <c r="AL11" s="62"/>
      <c r="AM11" s="31"/>
      <c r="AN11" s="62"/>
      <c r="AO11" s="62"/>
      <c r="AP11" s="62"/>
      <c r="AQ11" s="62"/>
      <c r="AR11" s="62"/>
      <c r="AS11" s="61"/>
      <c r="AT11" s="61"/>
      <c r="AU11" s="61"/>
      <c r="AV11" s="61"/>
      <c r="AW11" s="61"/>
      <c r="AX11" s="61"/>
      <c r="AY11" s="70"/>
      <c r="BB11" s="24"/>
      <c r="BC11" s="26" t="s">
        <v>51</v>
      </c>
    </row>
    <row r="12" spans="1:130" x14ac:dyDescent="0.25">
      <c r="C12" s="17"/>
      <c r="E12" s="8" t="s">
        <v>68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AB12" s="83" t="s">
        <v>98</v>
      </c>
      <c r="AC12" s="84"/>
      <c r="AD12" s="70"/>
      <c r="AE12" s="70"/>
      <c r="AF12" s="73"/>
      <c r="AG12" s="73"/>
      <c r="AH12" s="8"/>
      <c r="AI12" s="71"/>
      <c r="AJ12" s="62" t="s">
        <v>95</v>
      </c>
      <c r="AK12" s="62"/>
      <c r="AL12" s="62"/>
      <c r="AM12" s="31"/>
      <c r="AN12" s="62"/>
      <c r="AO12" s="62"/>
      <c r="AP12" s="62"/>
      <c r="AQ12" s="62"/>
      <c r="AR12" s="62"/>
      <c r="AS12" s="61"/>
      <c r="AT12" s="61"/>
      <c r="AU12" s="61"/>
      <c r="AV12" s="61"/>
      <c r="AW12" s="61"/>
      <c r="AX12" s="61"/>
      <c r="AY12" s="70"/>
      <c r="BC12" s="25" t="s">
        <v>53</v>
      </c>
      <c r="BD12" s="12" t="s">
        <v>52</v>
      </c>
    </row>
    <row r="13" spans="1:130" x14ac:dyDescent="0.25">
      <c r="C13" s="17"/>
      <c r="AB13" s="8"/>
      <c r="AC13" s="71"/>
      <c r="AD13" s="70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0"/>
      <c r="AS13" s="70"/>
      <c r="AT13" s="70"/>
      <c r="AU13" s="70"/>
      <c r="AV13" s="70"/>
      <c r="AW13" s="70"/>
      <c r="AX13" s="70"/>
      <c r="AY13" s="70"/>
      <c r="BC13" s="25" t="s">
        <v>53</v>
      </c>
      <c r="BD13" s="12" t="s">
        <v>54</v>
      </c>
    </row>
    <row r="14" spans="1:130" x14ac:dyDescent="0.25">
      <c r="C14" s="17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BC14" s="25" t="s">
        <v>53</v>
      </c>
      <c r="BD14" s="12" t="s">
        <v>55</v>
      </c>
    </row>
    <row r="15" spans="1:130" x14ac:dyDescent="0.25">
      <c r="C15" s="8" t="s">
        <v>58</v>
      </c>
      <c r="AB15" s="70"/>
      <c r="AC15" s="74" t="s">
        <v>83</v>
      </c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BB15" s="24" t="s">
        <v>44</v>
      </c>
      <c r="BC15" s="12" t="s">
        <v>56</v>
      </c>
    </row>
    <row r="16" spans="1:130" x14ac:dyDescent="0.25">
      <c r="E16" s="63"/>
      <c r="F16" s="63"/>
      <c r="G16" s="63"/>
      <c r="AB16" s="70"/>
      <c r="AC16" s="76" t="s">
        <v>4</v>
      </c>
      <c r="AD16" s="73" t="s">
        <v>82</v>
      </c>
      <c r="AE16" s="71"/>
      <c r="AF16" s="71"/>
      <c r="AG16" s="71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BB16" s="24" t="s">
        <v>45</v>
      </c>
      <c r="BC16" s="12" t="s">
        <v>57</v>
      </c>
    </row>
    <row r="17" spans="3:77" ht="15.75" thickBot="1" x14ac:dyDescent="0.3">
      <c r="C17" s="65" t="s">
        <v>37</v>
      </c>
      <c r="D17" s="22"/>
      <c r="E17" s="66" t="s">
        <v>36</v>
      </c>
      <c r="F17" s="63"/>
      <c r="G17" s="63"/>
      <c r="AB17" s="70"/>
      <c r="AC17" s="76" t="s">
        <v>5</v>
      </c>
      <c r="AD17" s="71" t="s">
        <v>80</v>
      </c>
      <c r="AE17" s="71"/>
      <c r="AF17" s="71"/>
      <c r="AG17" s="71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</row>
    <row r="18" spans="3:77" x14ac:dyDescent="0.25">
      <c r="C18" s="65" t="s">
        <v>66</v>
      </c>
      <c r="E18" s="64" t="s">
        <v>67</v>
      </c>
      <c r="F18" s="63"/>
      <c r="G18" s="63"/>
      <c r="AB18" s="70"/>
      <c r="AC18" s="76" t="s">
        <v>6</v>
      </c>
      <c r="AD18" s="71" t="s">
        <v>81</v>
      </c>
      <c r="AE18" s="71"/>
      <c r="AF18" s="71"/>
      <c r="AG18" s="71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BC18" s="126" t="s">
        <v>27</v>
      </c>
      <c r="BD18" s="127" t="s">
        <v>26</v>
      </c>
      <c r="BE18" s="127" t="s">
        <v>59</v>
      </c>
      <c r="BF18" s="127" t="s">
        <v>60</v>
      </c>
      <c r="BG18" s="127" t="s">
        <v>9</v>
      </c>
      <c r="BH18" s="127" t="s">
        <v>10</v>
      </c>
      <c r="BI18" s="127" t="s">
        <v>61</v>
      </c>
      <c r="BJ18" s="128" t="s">
        <v>62</v>
      </c>
    </row>
    <row r="19" spans="3:77" x14ac:dyDescent="0.25">
      <c r="C19" s="65" t="s">
        <v>38</v>
      </c>
      <c r="E19" s="66" t="s">
        <v>70</v>
      </c>
      <c r="F19" s="63"/>
      <c r="G19" s="63"/>
      <c r="AB19" s="70"/>
      <c r="AC19" s="76" t="s">
        <v>78</v>
      </c>
      <c r="AD19" s="73" t="s">
        <v>100</v>
      </c>
      <c r="AE19" s="73"/>
      <c r="AF19" s="73"/>
      <c r="AG19" s="73"/>
      <c r="AH19" s="63"/>
      <c r="AI19" s="63"/>
      <c r="AJ19" s="63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BC19" s="129"/>
      <c r="BD19" s="111"/>
      <c r="BE19" s="111"/>
      <c r="BF19" s="111"/>
      <c r="BG19" s="111"/>
      <c r="BH19" s="111"/>
      <c r="BI19" s="111"/>
      <c r="BJ19" s="130"/>
    </row>
    <row r="20" spans="3:77" x14ac:dyDescent="0.25">
      <c r="C20" s="65" t="s">
        <v>65</v>
      </c>
      <c r="E20" s="66" t="s">
        <v>64</v>
      </c>
      <c r="F20" s="63"/>
      <c r="G20" s="63"/>
      <c r="AB20" s="70"/>
      <c r="AC20" s="76"/>
      <c r="AD20" s="72" t="s">
        <v>74</v>
      </c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BC20" s="131">
        <f>'Profile Data'!B18</f>
        <v>1</v>
      </c>
      <c r="BD20" s="132" t="str">
        <f>'Profile Data'!C18</f>
        <v>Vertical Curve</v>
      </c>
      <c r="BE20" s="132">
        <f>'Profile Data'!D18</f>
        <v>307.358</v>
      </c>
      <c r="BF20" s="132">
        <f>'Profile Data'!E18</f>
        <v>907.774</v>
      </c>
      <c r="BG20" s="132">
        <f>'Profile Data'!F18</f>
        <v>342.358</v>
      </c>
      <c r="BH20" s="132">
        <f>'Profile Data'!G18</f>
        <v>908.53</v>
      </c>
      <c r="BI20" s="132">
        <f>'Profile Data'!H18</f>
        <v>377.358</v>
      </c>
      <c r="BJ20" s="133">
        <f>'Profile Data'!I18</f>
        <v>908.35500000000002</v>
      </c>
    </row>
    <row r="21" spans="3:77" x14ac:dyDescent="0.25">
      <c r="AB21" s="70"/>
      <c r="AC21" s="76"/>
      <c r="AD21" s="72" t="s">
        <v>75</v>
      </c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BC21" s="131">
        <f>'Profile Data'!B19</f>
        <v>2</v>
      </c>
      <c r="BD21" s="132" t="str">
        <f>'Profile Data'!C19</f>
        <v>Straight</v>
      </c>
      <c r="BE21" s="132">
        <f>'Profile Data'!D19</f>
        <v>377.358</v>
      </c>
      <c r="BF21" s="132">
        <f>'Profile Data'!E19</f>
        <v>908.35500000000002</v>
      </c>
      <c r="BG21" s="132">
        <f>'Profile Data'!F19</f>
        <v>0</v>
      </c>
      <c r="BH21" s="132">
        <f>'Profile Data'!G19</f>
        <v>0</v>
      </c>
      <c r="BI21" s="132">
        <f>'Profile Data'!H19</f>
        <v>407.33100000000002</v>
      </c>
      <c r="BJ21" s="133">
        <f>'Profile Data'!I19</f>
        <v>908.20500000000004</v>
      </c>
    </row>
    <row r="22" spans="3:77" x14ac:dyDescent="0.25">
      <c r="AB22" s="70"/>
      <c r="AC22" s="76" t="s">
        <v>79</v>
      </c>
      <c r="AD22" s="73" t="s">
        <v>99</v>
      </c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BC22" s="131">
        <f>'Profile Data'!B20</f>
        <v>3</v>
      </c>
      <c r="BD22" s="132" t="str">
        <f>'Profile Data'!C20</f>
        <v>Vertical Curve</v>
      </c>
      <c r="BE22" s="132">
        <f>'Profile Data'!D20</f>
        <v>407.33100000000002</v>
      </c>
      <c r="BF22" s="132">
        <f>'Profile Data'!E20</f>
        <v>908.20500000000004</v>
      </c>
      <c r="BG22" s="132">
        <f>'Profile Data'!F20</f>
        <v>447.33100000000002</v>
      </c>
      <c r="BH22" s="132">
        <f>'Profile Data'!G20</f>
        <v>908.005</v>
      </c>
      <c r="BI22" s="132">
        <f>'Profile Data'!H20</f>
        <v>487.33100000000002</v>
      </c>
      <c r="BJ22" s="133">
        <f>'Profile Data'!I20</f>
        <v>906.005</v>
      </c>
    </row>
    <row r="23" spans="3:77" x14ac:dyDescent="0.25">
      <c r="AB23" s="70"/>
      <c r="AC23" s="76"/>
      <c r="AD23" s="72" t="s">
        <v>76</v>
      </c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BC23" s="131">
        <f>'Profile Data'!B21</f>
        <v>4</v>
      </c>
      <c r="BD23" s="132" t="str">
        <f>'Profile Data'!C21</f>
        <v>Straight</v>
      </c>
      <c r="BE23" s="132">
        <f>'Profile Data'!D21</f>
        <v>487.33100000000002</v>
      </c>
      <c r="BF23" s="132">
        <f>'Profile Data'!E21</f>
        <v>906.005</v>
      </c>
      <c r="BG23" s="132">
        <f>'Profile Data'!F21</f>
        <v>0</v>
      </c>
      <c r="BH23" s="132">
        <f>'Profile Data'!G21</f>
        <v>0</v>
      </c>
      <c r="BI23" s="132">
        <f>'Profile Data'!H21</f>
        <v>609.60400000000004</v>
      </c>
      <c r="BJ23" s="133">
        <f>'Profile Data'!I21</f>
        <v>899.89099999999996</v>
      </c>
    </row>
    <row r="24" spans="3:77" ht="15.75" thickBot="1" x14ac:dyDescent="0.3">
      <c r="AB24" s="70"/>
      <c r="AC24" s="76"/>
      <c r="AD24" s="72" t="s">
        <v>77</v>
      </c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BC24" s="134">
        <f>'Profile Data'!B22</f>
        <v>0</v>
      </c>
      <c r="BD24" s="135">
        <f>'Profile Data'!C22</f>
        <v>0</v>
      </c>
      <c r="BE24" s="135" t="str">
        <f>'Profile Data'!D22</f>
        <v/>
      </c>
      <c r="BF24" s="135" t="str">
        <f>'Profile Data'!E22</f>
        <v/>
      </c>
      <c r="BG24" s="135">
        <f>'Profile Data'!F22</f>
        <v>0</v>
      </c>
      <c r="BH24" s="135">
        <f>'Profile Data'!G22</f>
        <v>0</v>
      </c>
      <c r="BI24" s="135">
        <f>'Profile Data'!H22</f>
        <v>0</v>
      </c>
      <c r="BJ24" s="136">
        <f>'Profile Data'!I22</f>
        <v>0</v>
      </c>
    </row>
    <row r="25" spans="3:77" x14ac:dyDescent="0.25">
      <c r="AB25" s="70"/>
      <c r="AC25" s="76" t="s">
        <v>0</v>
      </c>
      <c r="AD25" s="73" t="s">
        <v>103</v>
      </c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</row>
    <row r="26" spans="3:77" x14ac:dyDescent="0.25">
      <c r="AB26" s="70"/>
      <c r="AC26" s="76" t="s">
        <v>14</v>
      </c>
      <c r="AD26" s="73" t="s">
        <v>107</v>
      </c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</row>
    <row r="27" spans="3:77" ht="48" customHeight="1" x14ac:dyDescent="0.25">
      <c r="AB27" s="70"/>
      <c r="AC27" s="76" t="s">
        <v>1</v>
      </c>
      <c r="AD27" s="73" t="s">
        <v>102</v>
      </c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BC27" s="104" t="s">
        <v>20</v>
      </c>
      <c r="BD27" s="105"/>
      <c r="BE27" s="110" t="s">
        <v>13</v>
      </c>
      <c r="BF27" s="102"/>
      <c r="BG27" s="102" t="s">
        <v>17</v>
      </c>
      <c r="BH27" s="103"/>
      <c r="BI27" s="95" t="s">
        <v>21</v>
      </c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  <c r="BX27" s="95"/>
      <c r="BY27" s="96"/>
    </row>
    <row r="28" spans="3:77" ht="15" customHeight="1" x14ac:dyDescent="0.25">
      <c r="C28" s="8" t="s">
        <v>120</v>
      </c>
      <c r="AB28" s="70"/>
      <c r="AC28" s="76" t="s">
        <v>2</v>
      </c>
      <c r="AD28" s="73" t="s">
        <v>101</v>
      </c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BC28" s="106"/>
      <c r="BD28" s="107"/>
      <c r="BE28" s="137">
        <v>350</v>
      </c>
      <c r="BF28" s="138"/>
      <c r="BG28" s="143" cm="1">
        <f t="array" ref="BG28">_xlfn.LET(
   _xlpm.stn, 'User Manual'!$BE28,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908.34958256883999</v>
      </c>
      <c r="BH28" s="144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8"/>
    </row>
    <row r="29" spans="3:77" ht="15" customHeight="1" x14ac:dyDescent="0.25">
      <c r="D29" s="8" t="s">
        <v>117</v>
      </c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BC29" s="106"/>
      <c r="BD29" s="107"/>
      <c r="BE29" s="139">
        <v>400</v>
      </c>
      <c r="BF29" s="140"/>
      <c r="BG29" s="143" cm="1">
        <f t="array" ref="BG29">_xlfn.LET(
   _xlpm.stn, 'User Manual'!$BE29,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908.24168801921735</v>
      </c>
      <c r="BH29" s="144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8"/>
    </row>
    <row r="30" spans="3:77" ht="15" customHeight="1" x14ac:dyDescent="0.25">
      <c r="AB30" s="70"/>
      <c r="AC30" s="74" t="s">
        <v>84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BC30" s="106"/>
      <c r="BD30" s="107"/>
      <c r="BE30" s="139">
        <v>450</v>
      </c>
      <c r="BF30" s="140"/>
      <c r="BG30" s="143" cm="1">
        <f t="array" ref="BG30">_xlfn.LET(
   _xlpm.stn, 'User Manual'!$BE30,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907.47959899846876</v>
      </c>
      <c r="BH30" s="144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  <c r="BW30" s="97"/>
      <c r="BX30" s="97"/>
      <c r="BY30" s="98"/>
    </row>
    <row r="31" spans="3:77" ht="15" customHeight="1" x14ac:dyDescent="0.25">
      <c r="AB31" s="70"/>
      <c r="AC31" s="76" t="s">
        <v>85</v>
      </c>
      <c r="AD31" s="73" t="s">
        <v>87</v>
      </c>
      <c r="AE31" s="71"/>
      <c r="AF31" s="71"/>
      <c r="AG31" s="71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BC31" s="106"/>
      <c r="BD31" s="107"/>
      <c r="BE31" s="139">
        <v>425</v>
      </c>
      <c r="BF31" s="140"/>
      <c r="BG31" s="143" cm="1">
        <f t="array" ref="BG31">_xlfn.LET(
   _xlpm.stn, 'User Manual'!$BE31,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908.02885056096875</v>
      </c>
      <c r="BH31" s="144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8"/>
    </row>
    <row r="32" spans="3:77" ht="15" customHeight="1" x14ac:dyDescent="0.25">
      <c r="AB32" s="70"/>
      <c r="AC32" s="76" t="s">
        <v>86</v>
      </c>
      <c r="AD32" s="71" t="s">
        <v>88</v>
      </c>
      <c r="AE32" s="71"/>
      <c r="AF32" s="71"/>
      <c r="AG32" s="71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BC32" s="106"/>
      <c r="BD32" s="107"/>
      <c r="BE32" s="139">
        <v>500</v>
      </c>
      <c r="BF32" s="140"/>
      <c r="BG32" s="143" cm="1">
        <f t="array" ref="BG32">_xlfn.LET(
   _xlpm.stn, 'User Manual'!$BE32,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905.37151373565712</v>
      </c>
      <c r="BH32" s="144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8"/>
    </row>
    <row r="33" spans="3:77" ht="15" customHeight="1" x14ac:dyDescent="0.25">
      <c r="AB33" s="70"/>
      <c r="AC33" s="76" t="s">
        <v>78</v>
      </c>
      <c r="AD33" s="73" t="s">
        <v>106</v>
      </c>
      <c r="AE33" s="71"/>
      <c r="AF33" s="71"/>
      <c r="AG33" s="71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BC33" s="106"/>
      <c r="BD33" s="107"/>
      <c r="BE33" s="139">
        <v>600</v>
      </c>
      <c r="BF33" s="140"/>
      <c r="BG33" s="143" cm="1">
        <f t="array" ref="BG33">_xlfn.LET(
   _xlpm.stn, 'User Manual'!$BE33,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900.37122749094237</v>
      </c>
      <c r="BH33" s="144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8"/>
    </row>
    <row r="34" spans="3:77" ht="15" customHeight="1" x14ac:dyDescent="0.25">
      <c r="C34" s="17"/>
      <c r="AB34" s="70"/>
      <c r="AC34" s="76"/>
      <c r="AD34" s="72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BC34" s="106"/>
      <c r="BD34" s="107"/>
      <c r="BE34" s="139">
        <v>307.358</v>
      </c>
      <c r="BF34" s="140"/>
      <c r="BG34" s="143" cm="1">
        <f t="array" ref="BG34">_xlfn.LET(
   _xlpm.stn, 'User Manual'!$BE34,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907.774</v>
      </c>
      <c r="BH34" s="144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8"/>
    </row>
    <row r="35" spans="3:77" ht="15" customHeight="1" x14ac:dyDescent="0.25">
      <c r="C35" s="17"/>
      <c r="AB35" s="70"/>
      <c r="AC35" s="76"/>
      <c r="AD35" s="73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BC35" s="106"/>
      <c r="BD35" s="107"/>
      <c r="BE35" s="139">
        <v>609.60400000000004</v>
      </c>
      <c r="BF35" s="140"/>
      <c r="BG35" s="143" cm="1">
        <f t="array" ref="BG35">_xlfn.LET(
   _xlpm.stn, 'User Manual'!$BE35,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899.89099999999996</v>
      </c>
      <c r="BH35" s="144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8"/>
    </row>
    <row r="36" spans="3:77" ht="15" customHeight="1" x14ac:dyDescent="0.25">
      <c r="C36" s="17"/>
      <c r="AB36" s="70"/>
      <c r="AC36" s="76"/>
      <c r="AD36" s="73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BC36" s="106"/>
      <c r="BD36" s="107"/>
      <c r="BE36" s="139"/>
      <c r="BF36" s="140"/>
      <c r="BG36" s="143" t="str" cm="1">
        <f t="array" ref="BG36">_xlfn.LET(
   _xlpm.stn, 'User Manual'!$BE36,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/>
      </c>
      <c r="BH36" s="144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8"/>
    </row>
    <row r="37" spans="3:77" ht="15" customHeight="1" x14ac:dyDescent="0.25">
      <c r="C37" s="17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BC37" s="108"/>
      <c r="BD37" s="109"/>
      <c r="BE37" s="141"/>
      <c r="BF37" s="142"/>
      <c r="BG37" s="145" t="str" cm="1">
        <f t="array" ref="BG37">_xlfn.LET(
   _xlpm.stn, 'User Manual'!$BE37,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/>
      </c>
      <c r="BH37" s="146"/>
      <c r="BI37" s="99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BT37" s="99"/>
      <c r="BU37" s="99"/>
      <c r="BV37" s="99"/>
      <c r="BW37" s="99"/>
      <c r="BX37" s="99"/>
      <c r="BY37" s="100"/>
    </row>
    <row r="38" spans="3:77" x14ac:dyDescent="0.25">
      <c r="C38" s="17"/>
    </row>
    <row r="39" spans="3:77" x14ac:dyDescent="0.25">
      <c r="C39" s="17"/>
    </row>
    <row r="40" spans="3:77" x14ac:dyDescent="0.25">
      <c r="C40" s="17"/>
    </row>
    <row r="41" spans="3:77" x14ac:dyDescent="0.25">
      <c r="C41" s="17"/>
    </row>
    <row r="42" spans="3:77" x14ac:dyDescent="0.25">
      <c r="C42" s="17"/>
    </row>
    <row r="43" spans="3:77" x14ac:dyDescent="0.25">
      <c r="C43" s="17"/>
    </row>
    <row r="44" spans="3:77" x14ac:dyDescent="0.25">
      <c r="C44" s="17"/>
    </row>
    <row r="45" spans="3:77" x14ac:dyDescent="0.25">
      <c r="C45" s="17"/>
    </row>
    <row r="46" spans="3:77" x14ac:dyDescent="0.25">
      <c r="C46" s="17"/>
    </row>
    <row r="47" spans="3:77" x14ac:dyDescent="0.25">
      <c r="C47" s="17"/>
    </row>
    <row r="48" spans="3:77" x14ac:dyDescent="0.25">
      <c r="C48" s="17"/>
    </row>
    <row r="49" spans="3:3" x14ac:dyDescent="0.25">
      <c r="C49" s="17"/>
    </row>
    <row r="50" spans="3:3" x14ac:dyDescent="0.25">
      <c r="C50" s="17"/>
    </row>
    <row r="51" spans="3:3" x14ac:dyDescent="0.25">
      <c r="C51" s="17"/>
    </row>
    <row r="52" spans="3:3" x14ac:dyDescent="0.25">
      <c r="C52" s="17"/>
    </row>
    <row r="53" spans="3:3" x14ac:dyDescent="0.25">
      <c r="C53" s="17"/>
    </row>
    <row r="54" spans="3:3" x14ac:dyDescent="0.25">
      <c r="C54" s="17"/>
    </row>
    <row r="55" spans="3:3" x14ac:dyDescent="0.25">
      <c r="C55" s="17"/>
    </row>
    <row r="56" spans="3:3" x14ac:dyDescent="0.25">
      <c r="C56" s="17"/>
    </row>
    <row r="57" spans="3:3" x14ac:dyDescent="0.25">
      <c r="C57" s="17"/>
    </row>
    <row r="58" spans="3:3" x14ac:dyDescent="0.25">
      <c r="C58" s="17"/>
    </row>
    <row r="59" spans="3:3" x14ac:dyDescent="0.25">
      <c r="C59" s="17"/>
    </row>
    <row r="60" spans="3:3" x14ac:dyDescent="0.25">
      <c r="C60" s="17"/>
    </row>
    <row r="61" spans="3:3" x14ac:dyDescent="0.25">
      <c r="C61" s="17"/>
    </row>
    <row r="62" spans="3:3" x14ac:dyDescent="0.25">
      <c r="C62" s="17"/>
    </row>
    <row r="63" spans="3:3" x14ac:dyDescent="0.25">
      <c r="C63" s="17"/>
    </row>
    <row r="64" spans="3:3" x14ac:dyDescent="0.25">
      <c r="C64" s="17"/>
    </row>
    <row r="65" spans="3:30" x14ac:dyDescent="0.25">
      <c r="C65" s="17"/>
      <c r="AC65" s="85"/>
      <c r="AD65" s="86"/>
    </row>
    <row r="66" spans="3:30" x14ac:dyDescent="0.25">
      <c r="C66" s="17"/>
    </row>
    <row r="67" spans="3:30" x14ac:dyDescent="0.25">
      <c r="C67" s="17"/>
    </row>
    <row r="68" spans="3:30" x14ac:dyDescent="0.25">
      <c r="C68" s="17"/>
    </row>
    <row r="70" spans="3:30" x14ac:dyDescent="0.25">
      <c r="E70" s="63"/>
      <c r="F70" s="63"/>
      <c r="G70" s="63"/>
    </row>
    <row r="71" spans="3:30" x14ac:dyDescent="0.25">
      <c r="C71" s="65"/>
      <c r="D71" s="22"/>
      <c r="E71" s="66"/>
      <c r="F71" s="63"/>
      <c r="G71" s="63"/>
    </row>
    <row r="72" spans="3:30" x14ac:dyDescent="0.25">
      <c r="C72" s="65"/>
      <c r="E72" s="64"/>
      <c r="F72" s="63"/>
      <c r="G72" s="63"/>
    </row>
    <row r="73" spans="3:30" x14ac:dyDescent="0.25">
      <c r="C73" s="65"/>
      <c r="E73" s="66"/>
      <c r="F73" s="63"/>
      <c r="G73" s="63"/>
    </row>
    <row r="74" spans="3:30" x14ac:dyDescent="0.25">
      <c r="C74" s="65"/>
      <c r="E74" s="66"/>
      <c r="F74" s="63"/>
      <c r="G74" s="63"/>
    </row>
    <row r="103" spans="29:30" x14ac:dyDescent="0.25">
      <c r="AD103" s="21"/>
    </row>
    <row r="104" spans="29:30" x14ac:dyDescent="0.25">
      <c r="AD104" s="21"/>
    </row>
    <row r="107" spans="29:30" ht="33.75" x14ac:dyDescent="0.5">
      <c r="AC107" s="5"/>
    </row>
    <row r="110" spans="29:30" ht="33.75" x14ac:dyDescent="0.5">
      <c r="AC110" s="5"/>
    </row>
    <row r="309" spans="54:66" ht="33.75" x14ac:dyDescent="0.5">
      <c r="BB309" s="6"/>
    </row>
    <row r="310" spans="54:66" x14ac:dyDescent="0.25">
      <c r="BC310" s="23"/>
    </row>
    <row r="312" spans="54:66" x14ac:dyDescent="0.25"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</row>
    <row r="313" spans="54:66" x14ac:dyDescent="0.25">
      <c r="BB313" s="24"/>
    </row>
    <row r="314" spans="54:66" x14ac:dyDescent="0.25">
      <c r="BB314" s="24"/>
    </row>
    <row r="315" spans="54:66" x14ac:dyDescent="0.25">
      <c r="BB315" s="29"/>
      <c r="BC315" s="27"/>
    </row>
    <row r="316" spans="54:66" x14ac:dyDescent="0.25">
      <c r="BB316" s="29"/>
      <c r="BC316" s="28"/>
    </row>
    <row r="317" spans="54:66" x14ac:dyDescent="0.25">
      <c r="BB317" s="29"/>
      <c r="BC317" s="28"/>
    </row>
    <row r="318" spans="54:66" x14ac:dyDescent="0.25">
      <c r="BB318" s="29"/>
      <c r="BC318" s="27"/>
    </row>
    <row r="319" spans="54:66" x14ac:dyDescent="0.25">
      <c r="BB319" s="29"/>
      <c r="BC319" s="28"/>
    </row>
    <row r="320" spans="54:66" x14ac:dyDescent="0.25">
      <c r="BB320" s="29"/>
      <c r="BC320" s="28"/>
    </row>
    <row r="321" spans="54:70" x14ac:dyDescent="0.25">
      <c r="BB321" s="24"/>
    </row>
    <row r="322" spans="54:70" ht="15" customHeight="1" x14ac:dyDescent="0.25">
      <c r="BB322" s="30"/>
      <c r="BC322" s="101"/>
      <c r="BD322" s="101"/>
      <c r="BE322" s="101"/>
      <c r="BF322" s="101"/>
      <c r="BG322" s="101"/>
      <c r="BH322" s="101"/>
      <c r="BI322" s="101"/>
      <c r="BJ322" s="101"/>
      <c r="BK322" s="101"/>
      <c r="BL322" s="101"/>
      <c r="BM322" s="101"/>
      <c r="BN322" s="101"/>
      <c r="BO322" s="101"/>
      <c r="BP322" s="101"/>
      <c r="BQ322" s="101"/>
      <c r="BR322" s="101"/>
    </row>
    <row r="323" spans="54:70" x14ac:dyDescent="0.25">
      <c r="BC323" s="101"/>
      <c r="BD323" s="101"/>
      <c r="BE323" s="101"/>
      <c r="BF323" s="101"/>
      <c r="BG323" s="101"/>
      <c r="BH323" s="101"/>
      <c r="BI323" s="101"/>
      <c r="BJ323" s="101"/>
      <c r="BK323" s="101"/>
      <c r="BL323" s="101"/>
      <c r="BM323" s="101"/>
      <c r="BN323" s="101"/>
      <c r="BO323" s="101"/>
      <c r="BP323" s="101"/>
      <c r="BQ323" s="101"/>
      <c r="BR323" s="101"/>
    </row>
    <row r="324" spans="54:70" x14ac:dyDescent="0.25">
      <c r="BB324" s="30"/>
      <c r="BC324" s="101"/>
      <c r="BD324" s="101"/>
      <c r="BE324" s="101"/>
      <c r="BF324" s="101"/>
      <c r="BG324" s="101"/>
      <c r="BH324" s="101"/>
      <c r="BI324" s="101"/>
      <c r="BJ324" s="101"/>
      <c r="BK324" s="101"/>
      <c r="BL324" s="101"/>
      <c r="BM324" s="101"/>
      <c r="BN324" s="101"/>
      <c r="BO324" s="101"/>
      <c r="BP324" s="101"/>
      <c r="BQ324" s="101"/>
      <c r="BR324" s="101"/>
    </row>
    <row r="325" spans="54:70" x14ac:dyDescent="0.25">
      <c r="BC325" s="101"/>
      <c r="BD325" s="101"/>
      <c r="BE325" s="101"/>
      <c r="BF325" s="101"/>
      <c r="BG325" s="101"/>
      <c r="BH325" s="101"/>
      <c r="BI325" s="101"/>
      <c r="BJ325" s="101"/>
      <c r="BK325" s="101"/>
      <c r="BL325" s="101"/>
      <c r="BM325" s="101"/>
      <c r="BN325" s="101"/>
      <c r="BO325" s="101"/>
      <c r="BP325" s="101"/>
      <c r="BQ325" s="101"/>
      <c r="BR325" s="101"/>
    </row>
    <row r="326" spans="54:70" x14ac:dyDescent="0.25">
      <c r="BB326" s="30"/>
      <c r="BC326" s="101"/>
      <c r="BD326" s="101"/>
      <c r="BE326" s="101"/>
      <c r="BF326" s="101"/>
      <c r="BG326" s="101"/>
      <c r="BH326" s="101"/>
      <c r="BI326" s="101"/>
      <c r="BJ326" s="101"/>
      <c r="BK326" s="101"/>
      <c r="BL326" s="101"/>
      <c r="BM326" s="101"/>
      <c r="BN326" s="101"/>
      <c r="BO326" s="101"/>
      <c r="BP326" s="101"/>
      <c r="BQ326" s="101"/>
      <c r="BR326" s="101"/>
    </row>
    <row r="327" spans="54:70" x14ac:dyDescent="0.25">
      <c r="BC327" s="101"/>
      <c r="BD327" s="101"/>
      <c r="BE327" s="101"/>
      <c r="BF327" s="101"/>
      <c r="BG327" s="101"/>
      <c r="BH327" s="101"/>
      <c r="BI327" s="101"/>
      <c r="BJ327" s="101"/>
      <c r="BK327" s="101"/>
      <c r="BL327" s="101"/>
      <c r="BM327" s="101"/>
      <c r="BN327" s="101"/>
      <c r="BO327" s="101"/>
      <c r="BP327" s="101"/>
      <c r="BQ327" s="101"/>
      <c r="BR327" s="101"/>
    </row>
    <row r="328" spans="54:70" x14ac:dyDescent="0.25">
      <c r="BB328" s="30"/>
      <c r="BC328" s="101"/>
      <c r="BD328" s="101"/>
      <c r="BE328" s="101"/>
      <c r="BF328" s="101"/>
      <c r="BG328" s="101"/>
      <c r="BH328" s="101"/>
      <c r="BI328" s="101"/>
      <c r="BJ328" s="101"/>
      <c r="BK328" s="101"/>
      <c r="BL328" s="101"/>
      <c r="BM328" s="101"/>
      <c r="BN328" s="101"/>
      <c r="BO328" s="101"/>
      <c r="BP328" s="101"/>
      <c r="BQ328" s="101"/>
      <c r="BR328" s="101"/>
    </row>
    <row r="329" spans="54:70" x14ac:dyDescent="0.25">
      <c r="BC329" s="101"/>
      <c r="BD329" s="101"/>
      <c r="BE329" s="101"/>
      <c r="BF329" s="101"/>
      <c r="BG329" s="101"/>
      <c r="BH329" s="101"/>
      <c r="BI329" s="101"/>
      <c r="BJ329" s="101"/>
      <c r="BK329" s="101"/>
      <c r="BL329" s="101"/>
      <c r="BM329" s="101"/>
      <c r="BN329" s="101"/>
      <c r="BO329" s="101"/>
      <c r="BP329" s="101"/>
      <c r="BQ329" s="101"/>
      <c r="BR329" s="101"/>
    </row>
    <row r="330" spans="54:70" x14ac:dyDescent="0.25">
      <c r="BB330" s="30"/>
      <c r="BC330" s="101"/>
      <c r="BD330" s="101"/>
      <c r="BE330" s="101"/>
      <c r="BF330" s="101"/>
      <c r="BG330" s="101"/>
      <c r="BH330" s="101"/>
      <c r="BI330" s="101"/>
      <c r="BJ330" s="101"/>
      <c r="BK330" s="101"/>
      <c r="BL330" s="101"/>
      <c r="BM330" s="101"/>
      <c r="BN330" s="101"/>
      <c r="BO330" s="101"/>
      <c r="BP330" s="101"/>
      <c r="BQ330" s="101"/>
      <c r="BR330" s="101"/>
    </row>
    <row r="331" spans="54:70" x14ac:dyDescent="0.25">
      <c r="BC331" s="101"/>
      <c r="BD331" s="101"/>
      <c r="BE331" s="101"/>
      <c r="BF331" s="101"/>
      <c r="BG331" s="101"/>
      <c r="BH331" s="101"/>
      <c r="BI331" s="101"/>
      <c r="BJ331" s="101"/>
      <c r="BK331" s="101"/>
      <c r="BL331" s="101"/>
      <c r="BM331" s="101"/>
      <c r="BN331" s="101"/>
      <c r="BO331" s="101"/>
      <c r="BP331" s="101"/>
      <c r="BQ331" s="101"/>
      <c r="BR331" s="101"/>
    </row>
    <row r="525" ht="46.5" customHeight="1" x14ac:dyDescent="0.25"/>
    <row r="885" ht="18.75" customHeight="1" x14ac:dyDescent="0.25"/>
    <row r="886" ht="30" customHeight="1" x14ac:dyDescent="0.25"/>
    <row r="887" ht="15.75" customHeight="1" x14ac:dyDescent="0.25"/>
    <row r="888" ht="15.75" customHeight="1" x14ac:dyDescent="0.25"/>
    <row r="889" ht="40.5" customHeight="1" x14ac:dyDescent="0.25"/>
    <row r="890" ht="30" customHeight="1" x14ac:dyDescent="0.25"/>
    <row r="891" ht="15.75" customHeight="1" x14ac:dyDescent="0.25"/>
    <row r="892" ht="33" customHeight="1" x14ac:dyDescent="0.25"/>
    <row r="893" ht="15.75" customHeight="1" x14ac:dyDescent="0.25"/>
    <row r="894" ht="15.75" customHeight="1" x14ac:dyDescent="0.25"/>
    <row r="899" ht="15.75" customHeight="1" x14ac:dyDescent="0.25"/>
  </sheetData>
  <mergeCells count="37">
    <mergeCell ref="BE37:BF37"/>
    <mergeCell ref="BC322:BR323"/>
    <mergeCell ref="BC330:BR331"/>
    <mergeCell ref="BD18:BD19"/>
    <mergeCell ref="BC18:BC19"/>
    <mergeCell ref="BJ18:BJ19"/>
    <mergeCell ref="BI18:BI19"/>
    <mergeCell ref="BH18:BH19"/>
    <mergeCell ref="BG18:BG19"/>
    <mergeCell ref="BF18:BF19"/>
    <mergeCell ref="BE18:BE19"/>
    <mergeCell ref="BE32:BF32"/>
    <mergeCell ref="BE33:BF33"/>
    <mergeCell ref="BE34:BF34"/>
    <mergeCell ref="BE35:BF35"/>
    <mergeCell ref="BE36:BF36"/>
    <mergeCell ref="BE27:BF27"/>
    <mergeCell ref="BE28:BF28"/>
    <mergeCell ref="BE29:BF29"/>
    <mergeCell ref="BE30:BF30"/>
    <mergeCell ref="BE31:BF31"/>
    <mergeCell ref="BG37:BH37"/>
    <mergeCell ref="BI27:BY37"/>
    <mergeCell ref="BC324:BR325"/>
    <mergeCell ref="BC326:BR327"/>
    <mergeCell ref="BC328:BR329"/>
    <mergeCell ref="BG32:BH32"/>
    <mergeCell ref="BG33:BH33"/>
    <mergeCell ref="BG34:BH34"/>
    <mergeCell ref="BG35:BH35"/>
    <mergeCell ref="BG36:BH36"/>
    <mergeCell ref="BG27:BH27"/>
    <mergeCell ref="BG28:BH28"/>
    <mergeCell ref="BG29:BH29"/>
    <mergeCell ref="BG30:BH30"/>
    <mergeCell ref="BG31:BH31"/>
    <mergeCell ref="BC27:BD37"/>
  </mergeCells>
  <hyperlinks>
    <hyperlink ref="E17" r:id="rId1" xr:uid="{15131B80-E43C-4158-84FF-1FB331F46F7C}"/>
    <hyperlink ref="E19" r:id="rId2" xr:uid="{075A6A8F-1941-4AB7-819C-627868920E85}"/>
    <hyperlink ref="E20" r:id="rId3" xr:uid="{DB19A6A3-7074-4D4D-8896-87A5D93DC43A}"/>
  </hyperlinks>
  <pageMargins left="0.25" right="0.25" top="0.75" bottom="0.75" header="0.3" footer="0.3"/>
  <pageSetup paperSize="8" scale="61" fitToHeight="0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6861-621B-404C-8582-340E7403C572}">
  <sheetPr codeName="Sheet2">
    <tabColor theme="9"/>
  </sheetPr>
  <dimension ref="A1:CZ157"/>
  <sheetViews>
    <sheetView tabSelected="1" view="pageBreakPreview" topLeftCell="A33" zoomScaleNormal="100" zoomScaleSheetLayoutView="100" workbookViewId="0">
      <selection activeCell="G48" sqref="G48"/>
    </sheetView>
  </sheetViews>
  <sheetFormatPr defaultColWidth="12.7109375" defaultRowHeight="15" x14ac:dyDescent="0.25"/>
  <cols>
    <col min="1" max="1" width="7.7109375" style="50" customWidth="1"/>
    <col min="2" max="2" width="7.85546875" style="50" customWidth="1"/>
    <col min="3" max="3" width="13" style="50" customWidth="1"/>
    <col min="4" max="4" width="12.7109375" style="50"/>
    <col min="5" max="5" width="16.85546875" style="50" customWidth="1"/>
    <col min="6" max="6" width="10.42578125" style="50" customWidth="1"/>
    <col min="7" max="7" width="10.28515625" style="50" customWidth="1"/>
    <col min="8" max="8" width="10.5703125" style="50" customWidth="1"/>
    <col min="9" max="9" width="12.7109375" style="50"/>
    <col min="10" max="10" width="13" style="50" customWidth="1"/>
    <col min="11" max="11" width="12.7109375" style="50"/>
    <col min="12" max="12" width="11.85546875" style="50" customWidth="1"/>
    <col min="13" max="13" width="17.140625" style="50" customWidth="1"/>
    <col min="14" max="14" width="11" style="50" customWidth="1"/>
    <col min="15" max="15" width="10.42578125" style="50" customWidth="1"/>
    <col min="16" max="16" width="11" style="50" customWidth="1"/>
    <col min="17" max="17" width="16.42578125" style="50" customWidth="1"/>
    <col min="18" max="18" width="9.140625" style="50" customWidth="1"/>
    <col min="19" max="19" width="3.140625" style="50" customWidth="1"/>
    <col min="20" max="22" width="12.7109375" style="50"/>
    <col min="23" max="23" width="17.7109375" style="50" customWidth="1"/>
    <col min="24" max="24" width="18.28515625" style="50" customWidth="1"/>
    <col min="25" max="25" width="10.85546875" style="50" customWidth="1"/>
    <col min="26" max="26" width="10.7109375" style="50" customWidth="1"/>
    <col min="27" max="27" width="12.85546875" style="50" customWidth="1"/>
    <col min="28" max="28" width="16.28515625" style="50" customWidth="1"/>
    <col min="29" max="29" width="13.42578125" style="50" customWidth="1"/>
    <col min="30" max="30" width="10.5703125" style="50" customWidth="1"/>
    <col min="31" max="16384" width="12.7109375" style="50"/>
  </cols>
  <sheetData>
    <row r="1" spans="1:24" s="49" customFormat="1" ht="7.5" customHeight="1" x14ac:dyDescent="0.2"/>
    <row r="2" spans="1:24" s="49" customFormat="1" ht="12" x14ac:dyDescent="0.2">
      <c r="B2" s="51" t="s">
        <v>22</v>
      </c>
      <c r="C2" s="147">
        <f ca="1">TODAY()</f>
        <v>45959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</row>
    <row r="3" spans="1:24" s="49" customFormat="1" ht="6" customHeight="1" x14ac:dyDescent="0.2"/>
    <row r="4" spans="1:24" s="49" customFormat="1" ht="47.1" customHeight="1" x14ac:dyDescent="0.2">
      <c r="B4" s="112" t="s">
        <v>63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</row>
    <row r="5" spans="1:24" s="1" customFormat="1" ht="6.95" customHeight="1" x14ac:dyDescent="0.25"/>
    <row r="6" spans="1:24" s="1" customFormat="1" x14ac:dyDescent="0.25">
      <c r="B6" s="88" t="s">
        <v>105</v>
      </c>
      <c r="C6" s="89"/>
      <c r="D6" s="31"/>
      <c r="E6" s="62"/>
      <c r="F6" s="62"/>
      <c r="G6" s="87"/>
      <c r="H6" s="32"/>
      <c r="I6" s="87"/>
      <c r="J6" s="87"/>
      <c r="K6" s="87"/>
      <c r="L6" s="87"/>
      <c r="M6" s="87"/>
      <c r="N6" s="87"/>
      <c r="O6" s="87"/>
      <c r="P6" s="87"/>
      <c r="Q6" s="87"/>
      <c r="R6" s="61"/>
      <c r="S6" s="61"/>
      <c r="T6" s="61"/>
      <c r="U6" s="61"/>
      <c r="V6" s="61"/>
      <c r="W6" s="61"/>
      <c r="X6" s="61"/>
    </row>
    <row r="7" spans="1:24" s="1" customFormat="1" x14ac:dyDescent="0.25">
      <c r="B7" s="88" t="s">
        <v>73</v>
      </c>
      <c r="C7" s="89"/>
      <c r="D7" s="62" t="s">
        <v>71</v>
      </c>
      <c r="E7" s="31"/>
      <c r="F7" s="62"/>
      <c r="H7" s="77" t="s">
        <v>18</v>
      </c>
      <c r="I7" s="50"/>
      <c r="J7" s="50"/>
      <c r="K7" s="62"/>
      <c r="L7" s="62"/>
      <c r="M7" s="31"/>
      <c r="N7" s="62"/>
      <c r="O7" s="62"/>
      <c r="Q7" s="94" t="s">
        <v>115</v>
      </c>
      <c r="R7" s="62"/>
      <c r="S7" s="61"/>
      <c r="T7" s="61"/>
      <c r="U7" s="61"/>
      <c r="V7" s="61"/>
      <c r="W7" s="61"/>
      <c r="X7" s="61"/>
    </row>
    <row r="8" spans="1:24" s="1" customFormat="1" x14ac:dyDescent="0.25">
      <c r="B8" s="88" t="s">
        <v>19</v>
      </c>
      <c r="C8" s="89"/>
      <c r="D8" s="62" t="s">
        <v>72</v>
      </c>
      <c r="E8" s="31"/>
      <c r="F8" s="62"/>
      <c r="H8" s="92" t="s">
        <v>110</v>
      </c>
      <c r="I8" s="50"/>
      <c r="J8" s="50"/>
      <c r="K8" s="62"/>
      <c r="L8" s="62"/>
      <c r="M8" s="31"/>
      <c r="N8" s="62"/>
      <c r="O8" s="62"/>
      <c r="P8" s="62"/>
      <c r="Q8" s="93" t="s">
        <v>116</v>
      </c>
      <c r="R8" s="62"/>
      <c r="S8" s="61"/>
      <c r="T8" s="61"/>
      <c r="U8" s="61"/>
      <c r="V8" s="61"/>
      <c r="W8" s="61"/>
      <c r="X8" s="61"/>
    </row>
    <row r="9" spans="1:24" s="1" customFormat="1" x14ac:dyDescent="0.25">
      <c r="B9" s="90"/>
      <c r="C9" s="89"/>
      <c r="D9" s="31"/>
      <c r="E9" s="62"/>
      <c r="F9" s="62"/>
      <c r="H9" s="92" t="s">
        <v>111</v>
      </c>
      <c r="I9" s="50"/>
      <c r="J9" s="50"/>
      <c r="K9" s="62"/>
      <c r="L9" s="62"/>
      <c r="M9" s="31"/>
      <c r="N9" s="62"/>
      <c r="O9" s="62"/>
      <c r="P9" s="62"/>
      <c r="Q9" s="62"/>
      <c r="R9" s="62"/>
      <c r="S9" s="61"/>
      <c r="T9" s="61"/>
      <c r="U9" s="61"/>
      <c r="V9" s="61"/>
      <c r="W9" s="61"/>
      <c r="X9" s="61"/>
    </row>
    <row r="10" spans="1:24" s="1" customFormat="1" x14ac:dyDescent="0.25">
      <c r="B10" s="88" t="s">
        <v>18</v>
      </c>
      <c r="C10" s="91"/>
      <c r="D10" s="31"/>
      <c r="E10" s="31"/>
      <c r="F10" s="62"/>
      <c r="H10" s="92" t="s">
        <v>112</v>
      </c>
      <c r="I10" s="50"/>
      <c r="J10" s="50"/>
      <c r="K10" s="62"/>
      <c r="L10" s="62"/>
      <c r="M10" s="31"/>
      <c r="N10" s="62"/>
      <c r="O10" s="62"/>
      <c r="P10" s="62"/>
      <c r="Q10" s="62"/>
      <c r="R10" s="62"/>
      <c r="S10" s="61"/>
      <c r="T10" s="61"/>
      <c r="U10" s="61"/>
      <c r="V10" s="61"/>
      <c r="W10" s="61"/>
      <c r="X10" s="61"/>
    </row>
    <row r="11" spans="1:24" s="1" customFormat="1" x14ac:dyDescent="0.25">
      <c r="B11" s="90" t="s">
        <v>96</v>
      </c>
      <c r="C11" s="91"/>
      <c r="D11" s="31"/>
      <c r="E11" s="31"/>
      <c r="F11" s="62"/>
      <c r="H11" s="92" t="s">
        <v>113</v>
      </c>
      <c r="I11" s="50"/>
      <c r="J11" s="50"/>
      <c r="K11" s="62"/>
      <c r="L11" s="62"/>
      <c r="M11" s="31"/>
      <c r="N11" s="62"/>
      <c r="O11" s="62"/>
      <c r="P11" s="62"/>
      <c r="Q11" s="62"/>
      <c r="R11" s="62"/>
      <c r="S11" s="61"/>
      <c r="T11" s="61"/>
      <c r="U11" s="61"/>
      <c r="V11" s="61"/>
      <c r="W11" s="61"/>
      <c r="X11" s="61"/>
    </row>
    <row r="12" spans="1:24" s="1" customFormat="1" x14ac:dyDescent="0.25">
      <c r="B12" s="90" t="s">
        <v>97</v>
      </c>
      <c r="C12" s="91"/>
      <c r="D12" s="31"/>
      <c r="E12" s="31"/>
      <c r="F12" s="62"/>
      <c r="H12" s="92" t="s">
        <v>114</v>
      </c>
      <c r="I12" s="50"/>
      <c r="J12" s="50"/>
      <c r="K12" s="62"/>
      <c r="L12" s="62"/>
      <c r="M12" s="31"/>
      <c r="N12" s="62"/>
      <c r="O12" s="62"/>
      <c r="P12" s="62"/>
      <c r="Q12" s="62"/>
      <c r="R12" s="62"/>
      <c r="S12" s="61"/>
      <c r="T12" s="61"/>
      <c r="U12" s="61"/>
      <c r="V12" s="61"/>
      <c r="W12" s="61"/>
      <c r="X12" s="61"/>
    </row>
    <row r="13" spans="1:24" s="1" customFormat="1" x14ac:dyDescent="0.25">
      <c r="B13" s="90" t="s">
        <v>98</v>
      </c>
      <c r="C13" s="91"/>
      <c r="D13" s="31"/>
      <c r="E13" s="31"/>
      <c r="F13" s="62"/>
      <c r="H13" s="62"/>
      <c r="I13" s="50"/>
      <c r="J13" s="50"/>
      <c r="K13" s="62"/>
      <c r="L13" s="62"/>
      <c r="M13" s="31"/>
      <c r="N13" s="62"/>
      <c r="O13" s="62"/>
      <c r="P13" s="62"/>
      <c r="Q13" s="62"/>
      <c r="R13" s="62"/>
      <c r="S13" s="61"/>
      <c r="T13" s="61"/>
      <c r="U13" s="61"/>
      <c r="V13" s="61"/>
      <c r="W13" s="61"/>
      <c r="X13" s="61"/>
    </row>
    <row r="14" spans="1:24" s="1" customFormat="1" x14ac:dyDescent="0.25">
      <c r="B14" s="32"/>
      <c r="C14" s="87"/>
      <c r="D14" s="61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61"/>
      <c r="S14" s="61"/>
      <c r="T14" s="61"/>
      <c r="U14" s="61"/>
      <c r="V14" s="61"/>
      <c r="W14" s="61"/>
      <c r="X14" s="61"/>
    </row>
    <row r="15" spans="1:24" s="1" customFormat="1" ht="403.5" customHeight="1" x14ac:dyDescent="0.25">
      <c r="B15" s="125" t="e" vm="1">
        <v>#VALUE!</v>
      </c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61"/>
      <c r="S15" s="61"/>
      <c r="T15" s="61"/>
      <c r="U15" s="61"/>
      <c r="V15" s="61"/>
      <c r="W15" s="61"/>
      <c r="X15" s="61"/>
    </row>
    <row r="16" spans="1:24" s="37" customFormat="1" ht="12" x14ac:dyDescent="0.2">
      <c r="A16" s="49"/>
      <c r="D16" s="38"/>
      <c r="E16" s="38"/>
      <c r="F16" s="38"/>
      <c r="N16" s="38"/>
      <c r="O16" s="38"/>
      <c r="P16" s="38"/>
      <c r="Q16" s="38"/>
      <c r="R16" s="49"/>
    </row>
    <row r="17" spans="2:31" s="53" customFormat="1" ht="33.75" x14ac:dyDescent="0.2">
      <c r="B17" s="33" t="s">
        <v>27</v>
      </c>
      <c r="C17" s="34" t="s">
        <v>26</v>
      </c>
      <c r="D17" s="34" t="s">
        <v>7</v>
      </c>
      <c r="E17" s="34" t="s">
        <v>8</v>
      </c>
      <c r="F17" s="34" t="s">
        <v>9</v>
      </c>
      <c r="G17" s="34" t="s">
        <v>10</v>
      </c>
      <c r="H17" s="34" t="s">
        <v>11</v>
      </c>
      <c r="I17" s="34" t="s">
        <v>12</v>
      </c>
      <c r="J17" s="35" t="s">
        <v>108</v>
      </c>
      <c r="K17" s="35" t="s">
        <v>109</v>
      </c>
      <c r="L17" s="35" t="s">
        <v>0</v>
      </c>
      <c r="M17" s="35" t="s">
        <v>16</v>
      </c>
      <c r="N17" s="35" t="s">
        <v>1</v>
      </c>
      <c r="O17" s="35" t="s">
        <v>2</v>
      </c>
      <c r="P17" s="35" t="s">
        <v>3</v>
      </c>
      <c r="Q17" s="36" t="s">
        <v>15</v>
      </c>
      <c r="R17" s="49"/>
      <c r="AA17" s="54"/>
      <c r="AB17" s="54"/>
      <c r="AC17" s="54"/>
      <c r="AD17" s="54"/>
      <c r="AE17" s="54"/>
    </row>
    <row r="18" spans="2:31" s="53" customFormat="1" ht="12" x14ac:dyDescent="0.2">
      <c r="B18" s="39">
        <v>1</v>
      </c>
      <c r="C18" s="39" t="s">
        <v>32</v>
      </c>
      <c r="D18" s="39">
        <v>307.358</v>
      </c>
      <c r="E18" s="39">
        <v>907.774</v>
      </c>
      <c r="F18" s="39">
        <v>342.358</v>
      </c>
      <c r="G18" s="39">
        <v>908.53</v>
      </c>
      <c r="H18" s="39">
        <v>377.358</v>
      </c>
      <c r="I18" s="39">
        <v>908.35500000000002</v>
      </c>
      <c r="J18" s="40">
        <f>IF(AND(PROFILE_DATA[[#This Row],[PVI
'[STATION']]]="",PROFILE_DATA[[#This Row],[Segment Type]]=""),"",IFERROR(IF(PROFILE_DATA[[#This Row],[Segment Type]]="Straight",((PROFILE_DATA[[#This Row],[PVT
'[ELEVATION']]]-PROFILE_DATA[[#This Row],[PVC 
'[ELEVATION']]])/(PROFILE_DATA[[#This Row],[PVT
'[STATION']]]-PROFILE_DATA[[#This Row],[PVC 
'[STATION']]])),((PROFILE_DATA[[#This Row],[PVI
'[ELEVATION']]]-PROFILE_DATA[[#This Row],[PVC 
'[ELEVATION']]])/(PROFILE_DATA[[#This Row],[PVI
'[STATION']]]-PROFILE_DATA[[#This Row],[PVC 
'[STATION']]]))),""))</f>
        <v>2.1599999999999193E-2</v>
      </c>
      <c r="K18" s="40">
        <f>IF(PROFILE_DATA[[#This Row],[Segment Type]]="Straight","",IF(OR(PROFILE_DATA[[#This Row],[PVI
'[STATION']]]="",PROFILE_DATA[[#This Row],[PVI
'[ELEVATION']]]="",PROFILE_DATA[[#This Row],[Segment Type]]=""),"",(PROFILE_DATA[[#This Row],[PVT
'[ELEVATION']]]-PROFILE_DATA[[#This Row],[PVI
'[ELEVATION']]])/(PROFILE_DATA[[#This Row],[PVT
'[STATION']]]-PROFILE_DATA[[#This Row],[PVI
'[STATION']]])))</f>
        <v>-4.9999999999987008E-3</v>
      </c>
      <c r="L18" s="43">
        <f>IF(PROFILE_DATA[[#This Row],[Segment Type]]="","",IFERROR(PROFILE_DATA[[#This Row],[PVT
'[STATION']]]-PROFILE_DATA[[#This Row],[PVC 
'[STATION']]],""))</f>
        <v>70</v>
      </c>
      <c r="M18" s="42">
        <f>IFERROR(ABS(PROFILE_DATA[[#This Row],[G2]]-PROFILE_DATA[[#This Row],[G1]]),"")</f>
        <v>2.6599999999997893E-2</v>
      </c>
      <c r="N18" s="43">
        <f>IFERROR(((PROFILE_DATA[[#This Row],[A (difference)]]*PROFILE_DATA[[#This Row],[L]])/8),"")</f>
        <v>0.23274999999998155</v>
      </c>
      <c r="O18" s="43">
        <f>IFERROR(PROFILE_DATA[[#This Row],[L]]/PROFILE_DATA[[#This Row],[A (difference)]],"")</f>
        <v>2631.5789473686295</v>
      </c>
      <c r="P18" s="43">
        <f>IFERROR((PROFILE_DATA[[#This Row],[G2]]-PROFILE_DATA[[#This Row],[G1]])/(2*PROFILE_DATA[[#This Row],[L]]),"")</f>
        <v>-1.8999999999998494E-4</v>
      </c>
      <c r="Q18" s="40">
        <f>PROFILE_DATA[[#This Row],[G1]]</f>
        <v>2.1599999999999193E-2</v>
      </c>
      <c r="R18" s="49"/>
      <c r="AA18" s="55"/>
      <c r="AB18" s="54"/>
      <c r="AC18" s="54"/>
      <c r="AD18" s="54"/>
      <c r="AE18" s="54"/>
    </row>
    <row r="19" spans="2:31" s="49" customFormat="1" ht="12" x14ac:dyDescent="0.2">
      <c r="B19" s="44">
        <v>2</v>
      </c>
      <c r="C19" s="44" t="s">
        <v>24</v>
      </c>
      <c r="D19" s="41">
        <f>IF(PROFILE_DATA[[#This Row],[Segment Type]]="","",H18)</f>
        <v>377.358</v>
      </c>
      <c r="E19" s="41">
        <f>IF(PROFILE_DATA[[#This Row],[Segment Type]]="","",I18)</f>
        <v>908.35500000000002</v>
      </c>
      <c r="F19" s="44"/>
      <c r="G19" s="44"/>
      <c r="H19" s="44">
        <v>407.33100000000002</v>
      </c>
      <c r="I19" s="44">
        <v>908.20500000000004</v>
      </c>
      <c r="J19" s="45">
        <f>IF(AND(PROFILE_DATA[[#This Row],[PVI
'[STATION']]]="",PROFILE_DATA[[#This Row],[Segment Type]]=""),"",IFERROR(IF(PROFILE_DATA[[#This Row],[Segment Type]]="Straight",((PROFILE_DATA[[#This Row],[PVT
'[ELEVATION']]]-PROFILE_DATA[[#This Row],[PVC 
'[ELEVATION']]])/(PROFILE_DATA[[#This Row],[PVT
'[STATION']]]-PROFILE_DATA[[#This Row],[PVC 
'[STATION']]])),((PROFILE_DATA[[#This Row],[PVI
'[ELEVATION']]]-PROFILE_DATA[[#This Row],[PVC 
'[ELEVATION']]])/(PROFILE_DATA[[#This Row],[PVI
'[STATION']]]-PROFILE_DATA[[#This Row],[PVC 
'[STATION']]]))),""))</f>
        <v>-5.004504053647523E-3</v>
      </c>
      <c r="K19" s="45" t="str">
        <f>IF(PROFILE_DATA[[#This Row],[Segment Type]]="Straight","",IF(OR(PROFILE_DATA[[#This Row],[PVI
'[STATION']]]="",PROFILE_DATA[[#This Row],[PVI
'[ELEVATION']]]="",PROFILE_DATA[[#This Row],[Segment Type]]=""),"",(PROFILE_DATA[[#This Row],[PVT
'[ELEVATION']]]-PROFILE_DATA[[#This Row],[PVI
'[ELEVATION']]])/(PROFILE_DATA[[#This Row],[PVT
'[STATION']]]-PROFILE_DATA[[#This Row],[PVI
'[STATION']]])))</f>
        <v/>
      </c>
      <c r="L19" s="41">
        <f>IF(PROFILE_DATA[[#This Row],[Segment Type]]="","",IFERROR(PROFILE_DATA[[#This Row],[PVT
'[STATION']]]-PROFILE_DATA[[#This Row],[PVC 
'[STATION']]],""))</f>
        <v>29.973000000000013</v>
      </c>
      <c r="M19" s="45" t="str">
        <f>IFERROR(ABS(PROFILE_DATA[[#This Row],[G2]]-PROFILE_DATA[[#This Row],[G1]]),"")</f>
        <v/>
      </c>
      <c r="N19" s="41" t="str">
        <f>IFERROR(((PROFILE_DATA[[#This Row],[A (difference)]]*PROFILE_DATA[[#This Row],[L]])/8),"")</f>
        <v/>
      </c>
      <c r="O19" s="41" t="str">
        <f>IFERROR(PROFILE_DATA[[#This Row],[L]]/PROFILE_DATA[[#This Row],[A (difference)]],"")</f>
        <v/>
      </c>
      <c r="P19" s="41" t="str">
        <f>IFERROR((PROFILE_DATA[[#This Row],[G2]]-PROFILE_DATA[[#This Row],[G1]])/(2*PROFILE_DATA[[#This Row],[L]]),"")</f>
        <v/>
      </c>
      <c r="Q19" s="45">
        <f>PROFILE_DATA[[#This Row],[G1]]</f>
        <v>-5.004504053647523E-3</v>
      </c>
      <c r="AA19" s="56"/>
      <c r="AB19" s="54"/>
      <c r="AC19" s="54"/>
      <c r="AD19" s="54"/>
      <c r="AE19" s="54"/>
    </row>
    <row r="20" spans="2:31" s="49" customFormat="1" ht="12" x14ac:dyDescent="0.2">
      <c r="B20" s="44">
        <v>3</v>
      </c>
      <c r="C20" s="44" t="s">
        <v>32</v>
      </c>
      <c r="D20" s="41">
        <f>IF(PROFILE_DATA[[#This Row],[Segment Type]]="","",H19)</f>
        <v>407.33100000000002</v>
      </c>
      <c r="E20" s="41">
        <f>IF(PROFILE_DATA[[#This Row],[Segment Type]]="","",I19)</f>
        <v>908.20500000000004</v>
      </c>
      <c r="F20" s="44">
        <v>447.33100000000002</v>
      </c>
      <c r="G20" s="44">
        <v>908.005</v>
      </c>
      <c r="H20" s="44">
        <v>487.33100000000002</v>
      </c>
      <c r="I20" s="44">
        <v>906.005</v>
      </c>
      <c r="J20" s="45">
        <f>IF(AND(PROFILE_DATA[[#This Row],[PVI
'[STATION']]]="",PROFILE_DATA[[#This Row],[Segment Type]]=""),"",IFERROR(IF(PROFILE_DATA[[#This Row],[Segment Type]]="Straight",((PROFILE_DATA[[#This Row],[PVT
'[ELEVATION']]]-PROFILE_DATA[[#This Row],[PVC 
'[ELEVATION']]])/(PROFILE_DATA[[#This Row],[PVT
'[STATION']]]-PROFILE_DATA[[#This Row],[PVC 
'[STATION']]])),((PROFILE_DATA[[#This Row],[PVI
'[ELEVATION']]]-PROFILE_DATA[[#This Row],[PVC 
'[ELEVATION']]])/(PROFILE_DATA[[#This Row],[PVI
'[STATION']]]-PROFILE_DATA[[#This Row],[PVC 
'[STATION']]]))),""))</f>
        <v>-5.0000000000011372E-3</v>
      </c>
      <c r="K20" s="45">
        <f>IF(PROFILE_DATA[[#This Row],[Segment Type]]="Straight","",IF(OR(PROFILE_DATA[[#This Row],[PVI
'[STATION']]]="",PROFILE_DATA[[#This Row],[PVI
'[ELEVATION']]]="",PROFILE_DATA[[#This Row],[Segment Type]]=""),"",(PROFILE_DATA[[#This Row],[PVT
'[ELEVATION']]]-PROFILE_DATA[[#This Row],[PVI
'[ELEVATION']]])/(PROFILE_DATA[[#This Row],[PVT
'[STATION']]]-PROFILE_DATA[[#This Row],[PVI
'[STATION']]])))</f>
        <v>-0.05</v>
      </c>
      <c r="L20" s="41">
        <f>IF(PROFILE_DATA[[#This Row],[Segment Type]]="","",IFERROR(PROFILE_DATA[[#This Row],[PVT
'[STATION']]]-PROFILE_DATA[[#This Row],[PVC 
'[STATION']]],""))</f>
        <v>80</v>
      </c>
      <c r="M20" s="45">
        <f>IFERROR(ABS(PROFILE_DATA[[#This Row],[G2]]-PROFILE_DATA[[#This Row],[G1]]),"")</f>
        <v>4.4999999999998867E-2</v>
      </c>
      <c r="N20" s="41">
        <f>IFERROR(((PROFILE_DATA[[#This Row],[A (difference)]]*PROFILE_DATA[[#This Row],[L]])/8),"")</f>
        <v>0.44999999999998869</v>
      </c>
      <c r="O20" s="41">
        <f>IFERROR(PROFILE_DATA[[#This Row],[L]]/PROFILE_DATA[[#This Row],[A (difference)]],"")</f>
        <v>1777.7777777778226</v>
      </c>
      <c r="P20" s="41">
        <f>IFERROR((PROFILE_DATA[[#This Row],[G2]]-PROFILE_DATA[[#This Row],[G1]])/(2*PROFILE_DATA[[#This Row],[L]]),"")</f>
        <v>-2.8124999999999293E-4</v>
      </c>
      <c r="Q20" s="45">
        <f>PROFILE_DATA[[#This Row],[G1]]</f>
        <v>-5.0000000000011372E-3</v>
      </c>
      <c r="AA20" s="56"/>
      <c r="AB20" s="54"/>
      <c r="AC20" s="54"/>
      <c r="AD20" s="54"/>
      <c r="AE20" s="54"/>
    </row>
    <row r="21" spans="2:31" s="49" customFormat="1" ht="12" x14ac:dyDescent="0.2">
      <c r="B21" s="44">
        <v>4</v>
      </c>
      <c r="C21" s="44" t="s">
        <v>24</v>
      </c>
      <c r="D21" s="41">
        <f>IF(PROFILE_DATA[[#This Row],[Segment Type]]="","",H20)</f>
        <v>487.33100000000002</v>
      </c>
      <c r="E21" s="41">
        <f>IF(PROFILE_DATA[[#This Row],[Segment Type]]="","",I20)</f>
        <v>906.005</v>
      </c>
      <c r="F21" s="44"/>
      <c r="G21" s="44"/>
      <c r="H21" s="44">
        <v>609.60400000000004</v>
      </c>
      <c r="I21" s="44">
        <v>899.89099999999996</v>
      </c>
      <c r="J21" s="45">
        <f>IF(AND(PROFILE_DATA[[#This Row],[PVI
'[STATION']]]="",PROFILE_DATA[[#This Row],[Segment Type]]=""),"",IFERROR(IF(PROFILE_DATA[[#This Row],[Segment Type]]="Straight",((PROFILE_DATA[[#This Row],[PVT
'[ELEVATION']]]-PROFILE_DATA[[#This Row],[PVC 
'[ELEVATION']]])/(PROFILE_DATA[[#This Row],[PVT
'[STATION']]]-PROFILE_DATA[[#This Row],[PVC 
'[STATION']]])),((PROFILE_DATA[[#This Row],[PVI
'[ELEVATION']]]-PROFILE_DATA[[#This Row],[PVC 
'[ELEVATION']]])/(PROFILE_DATA[[#This Row],[PVI
'[STATION']]]-PROFILE_DATA[[#This Row],[PVC 
'[STATION']]]))),""))</f>
        <v>-5.0002862447147217E-2</v>
      </c>
      <c r="K21" s="45" t="str">
        <f>IF(PROFILE_DATA[[#This Row],[Segment Type]]="Straight","",IF(OR(PROFILE_DATA[[#This Row],[PVI
'[STATION']]]="",PROFILE_DATA[[#This Row],[PVI
'[ELEVATION']]]="",PROFILE_DATA[[#This Row],[Segment Type]]=""),"",(PROFILE_DATA[[#This Row],[PVT
'[ELEVATION']]]-PROFILE_DATA[[#This Row],[PVI
'[ELEVATION']]])/(PROFILE_DATA[[#This Row],[PVT
'[STATION']]]-PROFILE_DATA[[#This Row],[PVI
'[STATION']]])))</f>
        <v/>
      </c>
      <c r="L21" s="41">
        <f>IF(PROFILE_DATA[[#This Row],[Segment Type]]="","",IFERROR(PROFILE_DATA[[#This Row],[PVT
'[STATION']]]-PROFILE_DATA[[#This Row],[PVC 
'[STATION']]],""))</f>
        <v>122.27300000000002</v>
      </c>
      <c r="M21" s="45" t="str">
        <f>IFERROR(ABS(PROFILE_DATA[[#This Row],[G2]]-PROFILE_DATA[[#This Row],[G1]]),"")</f>
        <v/>
      </c>
      <c r="N21" s="41" t="str">
        <f>IFERROR(((PROFILE_DATA[[#This Row],[A (difference)]]*PROFILE_DATA[[#This Row],[L]])/8),"")</f>
        <v/>
      </c>
      <c r="O21" s="41" t="str">
        <f>IFERROR(PROFILE_DATA[[#This Row],[L]]/PROFILE_DATA[[#This Row],[A (difference)]],"")</f>
        <v/>
      </c>
      <c r="P21" s="41" t="str">
        <f>IFERROR((PROFILE_DATA[[#This Row],[G2]]-PROFILE_DATA[[#This Row],[G1]])/(2*PROFILE_DATA[[#This Row],[L]]),"")</f>
        <v/>
      </c>
      <c r="Q21" s="45">
        <f>PROFILE_DATA[[#This Row],[G1]]</f>
        <v>-5.0002862447147217E-2</v>
      </c>
      <c r="AA21" s="56"/>
      <c r="AB21" s="54"/>
      <c r="AC21" s="54"/>
      <c r="AD21" s="54"/>
      <c r="AE21" s="54"/>
    </row>
    <row r="22" spans="2:31" s="49" customFormat="1" ht="12" x14ac:dyDescent="0.2">
      <c r="B22" s="44"/>
      <c r="C22" s="44"/>
      <c r="D22" s="41" t="str">
        <f>IF(PROFILE_DATA[[#This Row],[Segment Type]]="","",H21)</f>
        <v/>
      </c>
      <c r="E22" s="41" t="str">
        <f>IF(PROFILE_DATA[[#This Row],[Segment Type]]="","",I21)</f>
        <v/>
      </c>
      <c r="F22" s="44"/>
      <c r="G22" s="44"/>
      <c r="H22" s="44"/>
      <c r="I22" s="44"/>
      <c r="J22" s="45" t="str">
        <f>IF(AND(PROFILE_DATA[[#This Row],[PVI
'[STATION']]]="",PROFILE_DATA[[#This Row],[Segment Type]]=""),"",IFERROR(IF(PROFILE_DATA[[#This Row],[Segment Type]]="Straight",((PROFILE_DATA[[#This Row],[PVT
'[ELEVATION']]]-PROFILE_DATA[[#This Row],[PVC 
'[ELEVATION']]])/(PROFILE_DATA[[#This Row],[PVT
'[STATION']]]-PROFILE_DATA[[#This Row],[PVC 
'[STATION']]])),((PROFILE_DATA[[#This Row],[PVI
'[ELEVATION']]]-PROFILE_DATA[[#This Row],[PVC 
'[ELEVATION']]])/(PROFILE_DATA[[#This Row],[PVI
'[STATION']]]-PROFILE_DATA[[#This Row],[PVC 
'[STATION']]]))),""))</f>
        <v/>
      </c>
      <c r="K22" s="45" t="str">
        <f>IF(PROFILE_DATA[[#This Row],[Segment Type]]="Straight","",IF(OR(PROFILE_DATA[[#This Row],[PVI
'[STATION']]]="",PROFILE_DATA[[#This Row],[PVI
'[ELEVATION']]]="",PROFILE_DATA[[#This Row],[Segment Type]]=""),"",(PROFILE_DATA[[#This Row],[PVT
'[ELEVATION']]]-PROFILE_DATA[[#This Row],[PVI
'[ELEVATION']]])/(PROFILE_DATA[[#This Row],[PVT
'[STATION']]]-PROFILE_DATA[[#This Row],[PVI
'[STATION']]])))</f>
        <v/>
      </c>
      <c r="L22" s="41" t="str">
        <f>IF(PROFILE_DATA[[#This Row],[Segment Type]]="","",IFERROR(PROFILE_DATA[[#This Row],[PVT
'[STATION']]]-PROFILE_DATA[[#This Row],[PVC 
'[STATION']]],""))</f>
        <v/>
      </c>
      <c r="M22" s="45" t="str">
        <f>IFERROR(ABS(PROFILE_DATA[[#This Row],[G2]]-PROFILE_DATA[[#This Row],[G1]]),"")</f>
        <v/>
      </c>
      <c r="N22" s="41" t="str">
        <f>IFERROR(((PROFILE_DATA[[#This Row],[A (difference)]]*PROFILE_DATA[[#This Row],[L]])/8),"")</f>
        <v/>
      </c>
      <c r="O22" s="41" t="str">
        <f>IFERROR(PROFILE_DATA[[#This Row],[L]]/PROFILE_DATA[[#This Row],[A (difference)]],"")</f>
        <v/>
      </c>
      <c r="P22" s="41" t="str">
        <f>IFERROR((PROFILE_DATA[[#This Row],[G2]]-PROFILE_DATA[[#This Row],[G1]])/(2*PROFILE_DATA[[#This Row],[L]]),"")</f>
        <v/>
      </c>
      <c r="Q22" s="45" t="str">
        <f>PROFILE_DATA[[#This Row],[G1]]</f>
        <v/>
      </c>
      <c r="AA22" s="56"/>
      <c r="AB22" s="54"/>
      <c r="AC22" s="54"/>
      <c r="AD22" s="54"/>
      <c r="AE22" s="54"/>
    </row>
    <row r="23" spans="2:31" s="49" customFormat="1" ht="12" x14ac:dyDescent="0.2">
      <c r="B23" s="44"/>
      <c r="C23" s="44"/>
      <c r="D23" s="41" t="str">
        <f>IF(PROFILE_DATA[[#This Row],[Segment Type]]="","",H22)</f>
        <v/>
      </c>
      <c r="E23" s="41" t="str">
        <f>IF(PROFILE_DATA[[#This Row],[Segment Type]]="","",I22)</f>
        <v/>
      </c>
      <c r="F23" s="44"/>
      <c r="G23" s="44"/>
      <c r="H23" s="44"/>
      <c r="I23" s="44"/>
      <c r="J23" s="45" t="str">
        <f>IF(AND(PROFILE_DATA[[#This Row],[PVI
'[STATION']]]="",PROFILE_DATA[[#This Row],[Segment Type]]=""),"",IFERROR(IF(PROFILE_DATA[[#This Row],[Segment Type]]="Straight",((PROFILE_DATA[[#This Row],[PVT
'[ELEVATION']]]-PROFILE_DATA[[#This Row],[PVC 
'[ELEVATION']]])/(PROFILE_DATA[[#This Row],[PVT
'[STATION']]]-PROFILE_DATA[[#This Row],[PVC 
'[STATION']]])),((PROFILE_DATA[[#This Row],[PVI
'[ELEVATION']]]-PROFILE_DATA[[#This Row],[PVC 
'[ELEVATION']]])/(PROFILE_DATA[[#This Row],[PVI
'[STATION']]]-PROFILE_DATA[[#This Row],[PVC 
'[STATION']]]))),""))</f>
        <v/>
      </c>
      <c r="K23" s="45" t="str">
        <f>IF(PROFILE_DATA[[#This Row],[Segment Type]]="Straight","",IF(OR(PROFILE_DATA[[#This Row],[PVI
'[STATION']]]="",PROFILE_DATA[[#This Row],[PVI
'[ELEVATION']]]="",PROFILE_DATA[[#This Row],[Segment Type]]=""),"",(PROFILE_DATA[[#This Row],[PVT
'[ELEVATION']]]-PROFILE_DATA[[#This Row],[PVI
'[ELEVATION']]])/(PROFILE_DATA[[#This Row],[PVT
'[STATION']]]-PROFILE_DATA[[#This Row],[PVI
'[STATION']]])))</f>
        <v/>
      </c>
      <c r="L23" s="41" t="str">
        <f>IF(PROFILE_DATA[[#This Row],[Segment Type]]="","",IFERROR(PROFILE_DATA[[#This Row],[PVT
'[STATION']]]-PROFILE_DATA[[#This Row],[PVC 
'[STATION']]],""))</f>
        <v/>
      </c>
      <c r="M23" s="45" t="str">
        <f>IFERROR(ABS(PROFILE_DATA[[#This Row],[G2]]-PROFILE_DATA[[#This Row],[G1]]),"")</f>
        <v/>
      </c>
      <c r="N23" s="41" t="str">
        <f>IFERROR(((PROFILE_DATA[[#This Row],[A (difference)]]*PROFILE_DATA[[#This Row],[L]])/8),"")</f>
        <v/>
      </c>
      <c r="O23" s="41" t="str">
        <f>IFERROR(PROFILE_DATA[[#This Row],[L]]/PROFILE_DATA[[#This Row],[A (difference)]],"")</f>
        <v/>
      </c>
      <c r="P23" s="41" t="str">
        <f>IFERROR((PROFILE_DATA[[#This Row],[G2]]-PROFILE_DATA[[#This Row],[G1]])/(2*PROFILE_DATA[[#This Row],[L]]),"")</f>
        <v/>
      </c>
      <c r="Q23" s="45" t="str">
        <f>PROFILE_DATA[[#This Row],[G1]]</f>
        <v/>
      </c>
      <c r="AA23" s="56"/>
      <c r="AB23" s="54"/>
      <c r="AC23" s="54"/>
      <c r="AD23" s="54"/>
      <c r="AE23" s="54"/>
    </row>
    <row r="24" spans="2:31" s="49" customFormat="1" ht="12" x14ac:dyDescent="0.2">
      <c r="B24" s="44"/>
      <c r="C24" s="44"/>
      <c r="D24" s="41"/>
      <c r="E24" s="41"/>
      <c r="F24" s="44"/>
      <c r="G24" s="44"/>
      <c r="H24" s="44"/>
      <c r="I24" s="44"/>
      <c r="J24" s="45" t="str">
        <f>IF(AND(PROFILE_DATA[[#This Row],[PVI
'[STATION']]]="",PROFILE_DATA[[#This Row],[Segment Type]]=""),"",IFERROR(IF(PROFILE_DATA[[#This Row],[Segment Type]]="Straight",((PROFILE_DATA[[#This Row],[PVT
'[ELEVATION']]]-PROFILE_DATA[[#This Row],[PVC 
'[ELEVATION']]])/(PROFILE_DATA[[#This Row],[PVT
'[STATION']]]-PROFILE_DATA[[#This Row],[PVC 
'[STATION']]])),((PROFILE_DATA[[#This Row],[PVI
'[ELEVATION']]]-PROFILE_DATA[[#This Row],[PVC 
'[ELEVATION']]])/(PROFILE_DATA[[#This Row],[PVI
'[STATION']]]-PROFILE_DATA[[#This Row],[PVC 
'[STATION']]]))),""))</f>
        <v/>
      </c>
      <c r="K24" s="45" t="str">
        <f>IF(PROFILE_DATA[[#This Row],[Segment Type]]="Straight","",IF(OR(PROFILE_DATA[[#This Row],[PVI
'[STATION']]]="",PROFILE_DATA[[#This Row],[PVI
'[ELEVATION']]]="",PROFILE_DATA[[#This Row],[Segment Type]]=""),"",(PROFILE_DATA[[#This Row],[PVT
'[ELEVATION']]]-PROFILE_DATA[[#This Row],[PVI
'[ELEVATION']]])/(PROFILE_DATA[[#This Row],[PVT
'[STATION']]]-PROFILE_DATA[[#This Row],[PVI
'[STATION']]])))</f>
        <v/>
      </c>
      <c r="L24" s="41" t="str">
        <f>IF(PROFILE_DATA[[#This Row],[Segment Type]]="","",IFERROR(PROFILE_DATA[[#This Row],[PVT
'[STATION']]]-PROFILE_DATA[[#This Row],[PVC 
'[STATION']]],""))</f>
        <v/>
      </c>
      <c r="M24" s="45" t="str">
        <f>IFERROR(ABS(PROFILE_DATA[[#This Row],[G2]]-PROFILE_DATA[[#This Row],[G1]]),"")</f>
        <v/>
      </c>
      <c r="N24" s="41" t="str">
        <f>IFERROR(((PROFILE_DATA[[#This Row],[A (difference)]]*PROFILE_DATA[[#This Row],[L]])/8),"")</f>
        <v/>
      </c>
      <c r="O24" s="41" t="str">
        <f>IFERROR(PROFILE_DATA[[#This Row],[L]]/PROFILE_DATA[[#This Row],[A (difference)]],"")</f>
        <v/>
      </c>
      <c r="P24" s="41" t="str">
        <f>IFERROR((PROFILE_DATA[[#This Row],[G2]]-PROFILE_DATA[[#This Row],[G1]])/(2*PROFILE_DATA[[#This Row],[L]]),"")</f>
        <v/>
      </c>
      <c r="Q24" s="45" t="str">
        <f>PROFILE_DATA[[#This Row],[G1]]</f>
        <v/>
      </c>
      <c r="AA24" s="56"/>
      <c r="AB24" s="54"/>
      <c r="AC24" s="54"/>
      <c r="AD24" s="54"/>
      <c r="AE24" s="54"/>
    </row>
    <row r="25" spans="2:31" s="49" customFormat="1" ht="2.25" customHeight="1" x14ac:dyDescent="0.25">
      <c r="B25" s="52"/>
      <c r="AA25" s="56"/>
      <c r="AB25" s="54"/>
      <c r="AC25" s="54"/>
      <c r="AD25" s="54"/>
      <c r="AE25" s="54"/>
    </row>
    <row r="27" spans="2:31" s="49" customFormat="1" ht="15" customHeight="1" x14ac:dyDescent="0.2">
      <c r="AA27" s="56"/>
      <c r="AB27" s="54"/>
      <c r="AC27" s="54"/>
      <c r="AD27" s="54"/>
      <c r="AE27" s="54"/>
    </row>
    <row r="28" spans="2:31" s="49" customFormat="1" ht="27" customHeight="1" x14ac:dyDescent="0.2">
      <c r="B28" s="115" t="s">
        <v>20</v>
      </c>
      <c r="C28" s="116"/>
      <c r="D28" s="60" t="s">
        <v>13</v>
      </c>
      <c r="E28" s="60" t="s">
        <v>17</v>
      </c>
      <c r="F28" s="120" t="s">
        <v>21</v>
      </c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1"/>
    </row>
    <row r="29" spans="2:31" s="49" customFormat="1" ht="15" customHeight="1" x14ac:dyDescent="0.2">
      <c r="B29" s="117"/>
      <c r="C29" s="107"/>
      <c r="D29" s="148">
        <v>350</v>
      </c>
      <c r="E29" s="149" cm="1">
        <f t="array" ref="E29">_xlfn.LET(
   _xlpm.stn, Station_Elevation[[#This Row],[Station]],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908.34958256883999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122"/>
    </row>
    <row r="30" spans="2:31" s="49" customFormat="1" ht="15" customHeight="1" x14ac:dyDescent="0.2">
      <c r="B30" s="117"/>
      <c r="C30" s="107"/>
      <c r="D30" s="148">
        <v>400</v>
      </c>
      <c r="E30" s="149" cm="1">
        <f t="array" ref="E30">_xlfn.LET(
   _xlpm.stn, Station_Elevation[[#This Row],[Station]],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908.24168801921735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122"/>
    </row>
    <row r="31" spans="2:31" s="49" customFormat="1" ht="15" customHeight="1" x14ac:dyDescent="0.2">
      <c r="B31" s="117"/>
      <c r="C31" s="107"/>
      <c r="D31" s="148">
        <v>450</v>
      </c>
      <c r="E31" s="149" cm="1">
        <f t="array" ref="E31">_xlfn.LET(
   _xlpm.stn, Station_Elevation[[#This Row],[Station]],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907.47959899846876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122"/>
    </row>
    <row r="32" spans="2:31" s="49" customFormat="1" ht="15" customHeight="1" x14ac:dyDescent="0.2">
      <c r="B32" s="117"/>
      <c r="C32" s="107"/>
      <c r="D32" s="148">
        <v>425</v>
      </c>
      <c r="E32" s="149" cm="1">
        <f t="array" ref="E32">_xlfn.LET(
   _xlpm.stn, Station_Elevation[[#This Row],[Station]],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>908.02885056096875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122"/>
    </row>
    <row r="33" spans="2:31" s="49" customFormat="1" ht="15" customHeight="1" x14ac:dyDescent="0.2">
      <c r="B33" s="117"/>
      <c r="C33" s="107"/>
      <c r="D33" s="148"/>
      <c r="E33" s="149" t="str" cm="1">
        <f t="array" ref="E33">_xlfn.LET(
   _xlpm.stn, Station_Elevation[[#This Row],[Station]],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/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122"/>
    </row>
    <row r="34" spans="2:31" s="49" customFormat="1" ht="15" customHeight="1" x14ac:dyDescent="0.2">
      <c r="B34" s="117"/>
      <c r="C34" s="107"/>
      <c r="D34" s="148"/>
      <c r="E34" s="149" t="str" cm="1">
        <f t="array" ref="E34">_xlfn.LET(
   _xlpm.stn, Station_Elevation[[#This Row],[Station]],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/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122"/>
    </row>
    <row r="35" spans="2:31" s="49" customFormat="1" ht="15" customHeight="1" x14ac:dyDescent="0.2">
      <c r="B35" s="117"/>
      <c r="C35" s="107"/>
      <c r="D35" s="148"/>
      <c r="E35" s="149" t="str" cm="1">
        <f t="array" ref="E35">_xlfn.LET(
   _xlpm.stn, Station_Elevation[[#This Row],[Station]],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/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122"/>
    </row>
    <row r="36" spans="2:31" s="49" customFormat="1" ht="15" customHeight="1" x14ac:dyDescent="0.2">
      <c r="B36" s="117"/>
      <c r="C36" s="107"/>
      <c r="D36" s="148"/>
      <c r="E36" s="149" t="str" cm="1">
        <f t="array" ref="E36">_xlfn.LET(
   _xlpm.stn, Station_Elevation[[#This Row],[Station]],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/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122"/>
    </row>
    <row r="37" spans="2:31" s="49" customFormat="1" ht="15" customHeight="1" x14ac:dyDescent="0.2">
      <c r="B37" s="117"/>
      <c r="C37" s="107"/>
      <c r="D37" s="148"/>
      <c r="E37" s="149" t="str" cm="1">
        <f t="array" ref="E37">_xlfn.LET(
   _xlpm.stn, Station_Elevation[[#This Row],[Station]],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/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122"/>
    </row>
    <row r="38" spans="2:31" s="49" customFormat="1" ht="15" customHeight="1" x14ac:dyDescent="0.2">
      <c r="B38" s="118"/>
      <c r="C38" s="119"/>
      <c r="D38" s="148"/>
      <c r="E38" s="149" t="str" cm="1">
        <f t="array" ref="E38">_xlfn.LET(
   _xlpm.stn, Station_Elevation[[#This Row],[Station]],
   _xlpm.SegmentNumber, INDEX(PROFILE_DATA[Segment Number],MATCH(1, (_xlpm.stn&gt;=PROFILE_DATA[PVC 
'[STATION']])*(_xlpm.stn&lt;=PROFILE_DATA[PVT
'[STATION']]), 0)),
   _xlpm.SegmentType, VLOOKUP(_xlpm.SegmentNumber, PROFILE_DATA[], MATCH("Segment Type", PROFILE_DATA[#Headers], 0), FALSE),
   _xlpm.pvc, VLOOKUP(_xlpm.SegmentNumber, PROFILE_DATA[], 3, FALSE),
   _xlpm.elevPVC, VLOOKUP(_xlpm.SegmentNumber, PROFILE_DATA[], 4, FALSE),
   _xlpm.grade, VLOOKUP(_xlpm.SegmentNumber, PROFILE_DATA[], 9, FALSE),
   _xlpm.curve, VLOOKUP(_xlpm.SegmentNumber, PROFILE_DATA[], 15, FALSE),
   _xlpm.result,
      IF(_xlpm.SegmentType="Straight",
         _xlpm.grade * (_xlpm.stn - _xlpm.pvc) + _xlpm.elevPVC,
         _xlpm.curve * (_xlpm.stn - _xlpm.pvc)^2 + _xlpm.grade * (_xlpm.stn - _xlpm.pvc) + _xlpm.elevPVC
      ),
   IFERROR(_xlpm.result,"")
)</f>
        <v/>
      </c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4"/>
    </row>
    <row r="39" spans="2:31" s="49" customFormat="1" x14ac:dyDescent="0.25">
      <c r="L39" s="50"/>
      <c r="M39" s="50"/>
      <c r="N39" s="50"/>
      <c r="O39" s="50"/>
      <c r="Y39" s="56"/>
      <c r="Z39" s="54"/>
      <c r="AA39" s="54"/>
      <c r="AB39" s="54"/>
      <c r="AC39" s="54"/>
    </row>
    <row r="40" spans="2:31" s="49" customFormat="1" x14ac:dyDescent="0.25">
      <c r="B40" s="52" t="s">
        <v>23</v>
      </c>
      <c r="AA40" s="56"/>
      <c r="AB40" s="54"/>
      <c r="AC40" s="54"/>
      <c r="AD40" s="54"/>
      <c r="AE40" s="54"/>
    </row>
    <row r="41" spans="2:31" s="46" customFormat="1" ht="12" x14ac:dyDescent="0.2">
      <c r="C41" s="57"/>
      <c r="D41" s="57" t="s">
        <v>25</v>
      </c>
      <c r="S41" s="58"/>
      <c r="AA41" s="59"/>
      <c r="AB41" s="48"/>
      <c r="AC41" s="48"/>
      <c r="AD41" s="48"/>
      <c r="AE41" s="48"/>
    </row>
    <row r="42" spans="2:31" s="46" customFormat="1" ht="12" x14ac:dyDescent="0.2">
      <c r="C42" s="57"/>
      <c r="G42" s="47"/>
      <c r="S42" s="58"/>
      <c r="AA42" s="59"/>
      <c r="AB42" s="48"/>
      <c r="AC42" s="48"/>
      <c r="AD42" s="48"/>
      <c r="AE42" s="48"/>
    </row>
    <row r="43" spans="2:31" s="46" customFormat="1" ht="12" x14ac:dyDescent="0.2">
      <c r="C43" s="57"/>
      <c r="G43" s="47"/>
      <c r="S43" s="58"/>
      <c r="AA43" s="59"/>
      <c r="AB43" s="48"/>
      <c r="AC43" s="48"/>
      <c r="AD43" s="48"/>
      <c r="AE43" s="48"/>
    </row>
    <row r="44" spans="2:31" x14ac:dyDescent="0.25">
      <c r="S44" s="49"/>
    </row>
    <row r="45" spans="2:31" x14ac:dyDescent="0.25">
      <c r="S45" s="49"/>
    </row>
    <row r="46" spans="2:31" x14ac:dyDescent="0.25">
      <c r="S46" s="49"/>
    </row>
    <row r="47" spans="2:31" x14ac:dyDescent="0.25">
      <c r="S47" s="49"/>
    </row>
    <row r="48" spans="2:31" x14ac:dyDescent="0.25">
      <c r="S48" s="49"/>
    </row>
    <row r="49" spans="1:104" x14ac:dyDescent="0.25">
      <c r="S49" s="49"/>
    </row>
    <row r="50" spans="1:104" x14ac:dyDescent="0.25">
      <c r="S50" s="49"/>
    </row>
    <row r="51" spans="1:104" x14ac:dyDescent="0.25">
      <c r="S51" s="49"/>
    </row>
    <row r="52" spans="1:104" x14ac:dyDescent="0.25">
      <c r="S52" s="49"/>
    </row>
    <row r="53" spans="1:104" x14ac:dyDescent="0.25">
      <c r="S53" s="49"/>
    </row>
    <row r="54" spans="1:104" x14ac:dyDescent="0.25">
      <c r="S54" s="49"/>
    </row>
    <row r="55" spans="1:104" s="31" customForma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49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</row>
    <row r="56" spans="1:104" x14ac:dyDescent="0.25">
      <c r="S56" s="49"/>
    </row>
    <row r="57" spans="1:104" x14ac:dyDescent="0.25">
      <c r="S57" s="49"/>
    </row>
    <row r="58" spans="1:104" x14ac:dyDescent="0.25">
      <c r="S58" s="49"/>
    </row>
    <row r="59" spans="1:104" ht="18" customHeight="1" x14ac:dyDescent="0.25">
      <c r="S59" s="49"/>
    </row>
    <row r="60" spans="1:104" x14ac:dyDescent="0.25">
      <c r="S60" s="49"/>
    </row>
    <row r="61" spans="1:104" x14ac:dyDescent="0.25">
      <c r="S61" s="49"/>
    </row>
    <row r="62" spans="1:104" x14ac:dyDescent="0.25">
      <c r="S62" s="49"/>
    </row>
    <row r="63" spans="1:104" x14ac:dyDescent="0.25">
      <c r="S63" s="49"/>
    </row>
    <row r="64" spans="1:104" x14ac:dyDescent="0.25">
      <c r="S64" s="49"/>
    </row>
    <row r="102" ht="3.75" customHeight="1" x14ac:dyDescent="0.25"/>
    <row r="105" ht="6.75" customHeight="1" x14ac:dyDescent="0.25"/>
    <row r="124" ht="6" customHeight="1" x14ac:dyDescent="0.25"/>
    <row r="157" ht="12.75" customHeight="1" x14ac:dyDescent="0.25"/>
  </sheetData>
  <mergeCells count="5">
    <mergeCell ref="C2:Q2"/>
    <mergeCell ref="B4:Q4"/>
    <mergeCell ref="B28:C38"/>
    <mergeCell ref="F28:Q38"/>
    <mergeCell ref="B15:Q15"/>
  </mergeCells>
  <phoneticPr fontId="2" type="noConversion"/>
  <conditionalFormatting sqref="B19:C24 F19:I24">
    <cfRule type="expression" dxfId="2" priority="3">
      <formula>ISBLANK($B18)</formula>
    </cfRule>
  </conditionalFormatting>
  <dataValidations disablePrompts="1" count="1">
    <dataValidation type="list" allowBlank="1" showInputMessage="1" showErrorMessage="1" sqref="C18:C24" xr:uid="{BBFA85DB-0570-4F0B-A779-D94F1373D745}">
      <formula1>"Vertical Curve, Straight"</formula1>
    </dataValidation>
  </dataValidations>
  <printOptions horizontalCentered="1"/>
  <pageMargins left="0.25" right="0.25" top="0.75" bottom="0.75" header="0.3" footer="0.3"/>
  <pageSetup paperSize="8" scale="74" fitToWidth="0" fitToHeight="0" orientation="landscape" r:id="rId1"/>
  <headerFooter>
    <oddFooter xml:space="preserve">&amp;L&amp;"Consolas,Regular"&amp;9&amp;K00-047Developed by Engr. Muhammad Bayoumi Ali | E-mail: muhammad.bayoumi.ali@gmail.com | LinkedIn: linkedin.com/in/muhammad-bayoumi-ali </oddFooter>
  </headerFooter>
  <rowBreaks count="4" manualBreakCount="4">
    <brk id="50" max="17" man="1"/>
    <brk id="99" max="17" man="1"/>
    <brk id="147" max="17" man="1"/>
    <brk id="218" max="17" man="1"/>
  </rowBreaks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7F00E9-0F35-4B35-BF9A-A20D753AE3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User Manual</vt:lpstr>
      <vt:lpstr>Profile Data</vt:lpstr>
      <vt:lpstr>'Profile Data'!Print_Area</vt:lpstr>
      <vt:lpstr>'User Manual'!Print_Area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station-elevation</dc:title>
  <dc:creator>Muhammad Bayoumi</dc:creator>
  <cp:keywords>mbi</cp:keywords>
  <cp:lastModifiedBy>Muhammad Bayoumi</cp:lastModifiedBy>
  <cp:lastPrinted>2025-10-29T07:53:00Z</cp:lastPrinted>
  <dcterms:created xsi:type="dcterms:W3CDTF">2025-07-15T04:57:16Z</dcterms:created>
  <dcterms:modified xsi:type="dcterms:W3CDTF">2025-10-29T07:53:00Z</dcterms:modified>
  <cp:category>mbi-sheet</cp:category>
</cp:coreProperties>
</file>