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d.docs.live.net/593964578465e7ef/mbi - sheets/"/>
    </mc:Choice>
  </mc:AlternateContent>
  <xr:revisionPtr revIDLastSave="334" documentId="8_{476CBE28-CF2A-49AB-B570-67C7D832B891}" xr6:coauthVersionLast="47" xr6:coauthVersionMax="47" xr10:uidLastSave="{CE674560-7F08-4F7B-8AEA-C22AC4B89BBD}"/>
  <bookViews>
    <workbookView xWindow="-120" yWindow="-120" windowWidth="29040" windowHeight="15720" tabRatio="935" xr2:uid="{E0E73E3F-AD4E-4431-802F-845CA953966E}"/>
  </bookViews>
  <sheets>
    <sheet name="User Manual" sheetId="67" r:id="rId1"/>
    <sheet name="(01) Profile Data" sheetId="3" r:id="rId2"/>
    <sheet name="Elevation Lookup by Station" sheetId="76" r:id="rId3"/>
    <sheet name="(02) Superstructure Data" sheetId="7" r:id="rId4"/>
    <sheet name="(03) Substructure Data" sheetId="8" r:id="rId5"/>
    <sheet name="Level Verification Calculations" sheetId="6" state="hidden" r:id="rId6"/>
    <sheet name="Customize Outputs" sheetId="12" r:id="rId7"/>
    <sheet name="Level Verification" sheetId="75" r:id="rId8"/>
    <sheet name="(04) Coordinate Data" sheetId="68" r:id="rId9"/>
    <sheet name="(05) Section_Properties" sheetId="64" r:id="rId10"/>
    <sheet name="Points" sheetId="70" r:id="rId11"/>
  </sheets>
  <definedNames>
    <definedName name="ExternalData_1" localSheetId="9" hidden="1">'(05) Section_Properties'!$B$8:$F$58</definedName>
    <definedName name="ExternalData_1" localSheetId="7" hidden="1">'Level Verification'!$B$5:$K$14</definedName>
    <definedName name="_xlnm.Print_Area" localSheetId="1">'(01) Profile Data'!$A$1:$R$24,'(01) Profile Data'!$T$6:$V$9</definedName>
    <definedName name="_xlnm.Print_Area" localSheetId="3">'(02) Superstructure Data'!$A$1:$H$58</definedName>
    <definedName name="_xlnm.Print_Area" localSheetId="4">'(03) Substructure Data'!$A$1:$I$58</definedName>
    <definedName name="_xlnm.Print_Area" localSheetId="8">'(04) Coordinate Data'!$A$1:$G$59</definedName>
    <definedName name="_xlnm.Print_Area" localSheetId="9">'(05) Section_Properties'!$A$1:$G$58</definedName>
    <definedName name="_xlnm.Print_Area" localSheetId="6">'Customize Outputs'!$A$1:$E$36</definedName>
    <definedName name="_xlnm.Print_Area" localSheetId="2">'Elevation Lookup by Station'!$A$1:$N$30</definedName>
    <definedName name="_xlnm.Print_Area" localSheetId="7">'Level Verification'!$A$1:$L$20</definedName>
    <definedName name="_xlnm.Print_Area" localSheetId="5">'Level Verification Calculations'!$A$1:$Z$58</definedName>
    <definedName name="_xlnm.Print_Area" localSheetId="10">Points!$A$1:$G$126</definedName>
    <definedName name="_xlnm.Print_Area" localSheetId="0">'User Manual'!$A$1:$Z$141</definedName>
    <definedName name="Slicer_Axis1">#N/A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64" l="1"/>
  <c r="D10" i="64"/>
  <c r="D21" i="64"/>
  <c r="D20" i="64"/>
  <c r="D19" i="64"/>
  <c r="D18" i="64"/>
  <c r="D17" i="64"/>
  <c r="D9" i="64"/>
  <c r="C2" i="76"/>
  <c r="K18" i="3"/>
  <c r="K19" i="3"/>
  <c r="K20" i="3"/>
  <c r="K21" i="3"/>
  <c r="K22" i="3"/>
  <c r="K23" i="3"/>
  <c r="K24" i="3"/>
  <c r="C45" i="68" l="1"/>
  <c r="C46" i="68"/>
  <c r="C49" i="68"/>
  <c r="C50" i="68"/>
  <c r="C51" i="68"/>
  <c r="C52" i="68"/>
  <c r="C53" i="68"/>
  <c r="C54" i="68"/>
  <c r="C55" i="68"/>
  <c r="C56" i="68"/>
  <c r="C57" i="68"/>
  <c r="C58" i="68"/>
  <c r="C27" i="68"/>
  <c r="C28" i="68"/>
  <c r="C29" i="68"/>
  <c r="C30" i="68"/>
  <c r="C31" i="68"/>
  <c r="C32" i="68"/>
  <c r="C33" i="68"/>
  <c r="C34" i="68"/>
  <c r="C35" i="68"/>
  <c r="C36" i="68"/>
  <c r="C37" i="68"/>
  <c r="C38" i="68"/>
  <c r="C39" i="68"/>
  <c r="C40" i="68"/>
  <c r="C41" i="68"/>
  <c r="C42" i="68"/>
  <c r="C43" i="68"/>
  <c r="C44" i="68"/>
  <c r="C47" i="68"/>
  <c r="C48" i="68"/>
  <c r="C59" i="68"/>
  <c r="B2" i="75" l="1"/>
  <c r="C28" i="75"/>
  <c r="D27" i="75"/>
  <c r="B29" i="12"/>
  <c r="B28" i="12"/>
  <c r="B27" i="12"/>
  <c r="C2" i="64"/>
  <c r="J24" i="3"/>
  <c r="Q24" i="3" s="1"/>
  <c r="L24" i="3"/>
  <c r="C2" i="7"/>
  <c r="C2" i="68"/>
  <c r="BI900" i="67"/>
  <c r="BH901" i="67"/>
  <c r="BH531" i="67"/>
  <c r="BH530" i="67"/>
  <c r="BH528" i="67"/>
  <c r="BH527" i="67"/>
  <c r="C2" i="8"/>
  <c r="P24" i="3" l="1"/>
  <c r="M24" i="3"/>
  <c r="N24" i="3" s="1"/>
  <c r="B26" i="12"/>
  <c r="B25" i="12"/>
  <c r="B24" i="12"/>
  <c r="B23" i="12"/>
  <c r="B22" i="12"/>
  <c r="B21" i="12"/>
  <c r="B20" i="12"/>
  <c r="B19" i="12"/>
  <c r="B18" i="12"/>
  <c r="B17" i="12"/>
  <c r="B16" i="12"/>
  <c r="B15" i="12"/>
  <c r="B14" i="12"/>
  <c r="B13" i="12"/>
  <c r="B12" i="12"/>
  <c r="B11" i="12"/>
  <c r="B10" i="12"/>
  <c r="B9" i="12"/>
  <c r="B8" i="12"/>
  <c r="B7" i="12"/>
  <c r="O24" i="3" l="1"/>
  <c r="B8" i="6"/>
  <c r="C8" i="6" s="1" a="1"/>
  <c r="C8" i="6" s="1"/>
  <c r="D8" i="6" l="1"/>
  <c r="C10" i="68" s="1"/>
  <c r="Y8" i="6"/>
  <c r="X8" i="6"/>
  <c r="W8" i="6"/>
  <c r="C2" i="3"/>
  <c r="L23" i="3" l="1"/>
  <c r="J23" i="3"/>
  <c r="Q23" i="3" s="1"/>
  <c r="E23" i="3"/>
  <c r="D23" i="3"/>
  <c r="L22" i="3"/>
  <c r="J22" i="3"/>
  <c r="Q22" i="3" s="1"/>
  <c r="E22" i="3"/>
  <c r="D22" i="3"/>
  <c r="E21" i="3"/>
  <c r="D21" i="3"/>
  <c r="E20" i="3"/>
  <c r="D20" i="3"/>
  <c r="E19" i="3"/>
  <c r="D19" i="3"/>
  <c r="L18" i="3"/>
  <c r="J18" i="3"/>
  <c r="E26" i="76" l="1" a="1"/>
  <c r="E26" i="76" s="1"/>
  <c r="E17" i="76" a="1"/>
  <c r="E17" i="76" s="1"/>
  <c r="E21" i="76" a="1"/>
  <c r="E21" i="76" s="1"/>
  <c r="E27" i="76" a="1"/>
  <c r="E27" i="76" s="1"/>
  <c r="E18" i="76" a="1"/>
  <c r="E18" i="76" s="1"/>
  <c r="E20" i="76" a="1"/>
  <c r="E20" i="76" s="1"/>
  <c r="E23" i="76" a="1"/>
  <c r="E23" i="76" s="1"/>
  <c r="E25" i="76" a="1"/>
  <c r="E25" i="76" s="1"/>
  <c r="E19" i="76" a="1"/>
  <c r="E19" i="76" s="1"/>
  <c r="E22" i="76" a="1"/>
  <c r="E22" i="76" s="1"/>
  <c r="E24" i="76" a="1"/>
  <c r="E24" i="76" s="1"/>
  <c r="E16" i="76" a="1"/>
  <c r="E16" i="76" s="1"/>
  <c r="E15" i="76" a="1"/>
  <c r="E15" i="76" s="1"/>
  <c r="E14" i="76" a="1"/>
  <c r="E14" i="76" s="1"/>
  <c r="E13" i="76" a="1"/>
  <c r="E13" i="76" s="1"/>
  <c r="E12" i="76" a="1"/>
  <c r="E12" i="76" s="1"/>
  <c r="E11" i="76" a="1"/>
  <c r="E11" i="76" s="1"/>
  <c r="E10" i="76" a="1"/>
  <c r="E10" i="76" s="1"/>
  <c r="E9" i="76" a="1"/>
  <c r="E9" i="76" s="1"/>
  <c r="J21" i="3"/>
  <c r="M21" i="3" s="1"/>
  <c r="J20" i="3"/>
  <c r="Q20" i="3" s="1"/>
  <c r="L20" i="3"/>
  <c r="L21" i="3"/>
  <c r="Q18" i="3"/>
  <c r="L19" i="3"/>
  <c r="J19" i="3"/>
  <c r="Q19" i="3" s="1"/>
  <c r="P22" i="3"/>
  <c r="P18" i="3"/>
  <c r="E7" i="76" s="1" a="1"/>
  <c r="E7" i="76" s="1"/>
  <c r="M18" i="3"/>
  <c r="M22" i="3"/>
  <c r="N22" i="3" s="1"/>
  <c r="P23" i="3"/>
  <c r="M23" i="3"/>
  <c r="N23" i="3" s="1"/>
  <c r="Q21" i="3" l="1"/>
  <c r="P21" i="3"/>
  <c r="M20" i="3"/>
  <c r="N20" i="3" s="1"/>
  <c r="P20" i="3"/>
  <c r="N21" i="3"/>
  <c r="O21" i="3"/>
  <c r="P19" i="3"/>
  <c r="M19" i="3"/>
  <c r="N19" i="3" s="1"/>
  <c r="O18" i="3"/>
  <c r="N18" i="3"/>
  <c r="O23" i="3"/>
  <c r="O22" i="3"/>
  <c r="E8" i="76" l="1" a="1"/>
  <c r="E8" i="76" s="1"/>
  <c r="O20" i="3"/>
  <c r="O19" i="3"/>
  <c r="B9" i="6" l="1"/>
  <c r="C9" i="6" s="1" a="1"/>
  <c r="C9" i="6" s="1"/>
  <c r="D9" i="6" l="1"/>
  <c r="C11" i="68" s="1"/>
  <c r="X9" i="6"/>
  <c r="W9" i="6"/>
  <c r="Y9" i="6"/>
  <c r="B10" i="6"/>
  <c r="C10" i="6" s="1" a="1"/>
  <c r="C10" i="6" s="1"/>
  <c r="R9" i="6"/>
  <c r="H9" i="6"/>
  <c r="M9" i="6"/>
  <c r="P8" i="6"/>
  <c r="O8" i="6"/>
  <c r="H8" i="6"/>
  <c r="M8" i="6"/>
  <c r="E8" i="6" a="1"/>
  <c r="E8" i="6" s="1"/>
  <c r="R8" i="6"/>
  <c r="O9" i="6"/>
  <c r="P9" i="6"/>
  <c r="D10" i="6" l="1"/>
  <c r="C12" i="68" s="1"/>
  <c r="W10" i="6"/>
  <c r="X10" i="6"/>
  <c r="Y10" i="6"/>
  <c r="O10" i="6"/>
  <c r="H10" i="6"/>
  <c r="K10" i="6" s="1"/>
  <c r="P10" i="6"/>
  <c r="M10" i="6"/>
  <c r="R10" i="6"/>
  <c r="B11" i="6"/>
  <c r="E9" i="6" a="1"/>
  <c r="E9" i="6" s="1"/>
  <c r="N8" i="6"/>
  <c r="N9" i="6"/>
  <c r="S9" i="6"/>
  <c r="I9" i="6"/>
  <c r="K9" i="6"/>
  <c r="J9" i="6"/>
  <c r="F8" i="6" a="1"/>
  <c r="F8" i="6" s="1"/>
  <c r="G8" i="6" s="1"/>
  <c r="S8" i="6"/>
  <c r="I8" i="6"/>
  <c r="J8" i="6"/>
  <c r="K8" i="6"/>
  <c r="Q8" i="6"/>
  <c r="F9" i="6" a="1"/>
  <c r="F9" i="6" s="1"/>
  <c r="G9" i="6" s="1"/>
  <c r="Q9" i="6"/>
  <c r="F10" i="6" l="1" a="1"/>
  <c r="F10" i="6" s="1"/>
  <c r="G10" i="6" s="1"/>
  <c r="Q10" i="6"/>
  <c r="J10" i="6"/>
  <c r="S10" i="6"/>
  <c r="I10" i="6"/>
  <c r="N10" i="6"/>
  <c r="E10" i="6" a="1"/>
  <c r="E10" i="6" s="1"/>
  <c r="B12" i="6"/>
  <c r="C11" i="6" a="1"/>
  <c r="C11" i="6" s="1"/>
  <c r="L8" i="6"/>
  <c r="T8" i="6" s="1"/>
  <c r="U8" i="6" s="1"/>
  <c r="V8" i="6" s="1"/>
  <c r="L9" i="6"/>
  <c r="D11" i="6" l="1"/>
  <c r="C13" i="68" s="1"/>
  <c r="Y11" i="6"/>
  <c r="W11" i="6"/>
  <c r="X11" i="6"/>
  <c r="L10" i="6"/>
  <c r="T10" i="6" s="1"/>
  <c r="U10" i="6" s="1"/>
  <c r="V10" i="6" s="1"/>
  <c r="O11" i="6"/>
  <c r="P11" i="6"/>
  <c r="R11" i="6"/>
  <c r="M11" i="6"/>
  <c r="H11" i="6"/>
  <c r="C12" i="6" a="1"/>
  <c r="C12" i="6" s="1"/>
  <c r="B13" i="6"/>
  <c r="T9" i="6"/>
  <c r="U9" i="6" s="1"/>
  <c r="V9" i="6" s="1"/>
  <c r="D12" i="6" l="1"/>
  <c r="W12" i="6"/>
  <c r="X12" i="6"/>
  <c r="Y12" i="6"/>
  <c r="N11" i="6"/>
  <c r="H12" i="6"/>
  <c r="O12" i="6"/>
  <c r="R12" i="6"/>
  <c r="P12" i="6"/>
  <c r="M12" i="6"/>
  <c r="S11" i="6"/>
  <c r="J11" i="6"/>
  <c r="K11" i="6"/>
  <c r="I11" i="6"/>
  <c r="C13" i="6" a="1"/>
  <c r="C13" i="6" s="1"/>
  <c r="B14" i="6"/>
  <c r="C14" i="6" s="1" a="1"/>
  <c r="C14" i="6" s="1"/>
  <c r="Q11" i="6"/>
  <c r="E11" i="6" a="1"/>
  <c r="E11" i="6" s="1"/>
  <c r="F11" i="6" a="1"/>
  <c r="F11" i="6" s="1"/>
  <c r="G11" i="6" s="1"/>
  <c r="D14" i="6" l="1"/>
  <c r="W14" i="6"/>
  <c r="Y14" i="6"/>
  <c r="X14" i="6"/>
  <c r="D13" i="6"/>
  <c r="X13" i="6"/>
  <c r="W13" i="6"/>
  <c r="Y13" i="6"/>
  <c r="N12" i="6"/>
  <c r="E14" i="6" a="1"/>
  <c r="E14" i="6" s="1"/>
  <c r="R14" i="6"/>
  <c r="I12" i="6"/>
  <c r="J12" i="6"/>
  <c r="S12" i="6"/>
  <c r="K12" i="6"/>
  <c r="L11" i="6"/>
  <c r="T11" i="6" s="1"/>
  <c r="U11" i="6" s="1"/>
  <c r="V11" i="6" s="1"/>
  <c r="H14" i="6"/>
  <c r="K14" i="6" s="1"/>
  <c r="M14" i="6"/>
  <c r="E12" i="6" a="1"/>
  <c r="E12" i="6" s="1"/>
  <c r="F12" i="6" a="1"/>
  <c r="F12" i="6" s="1"/>
  <c r="G12" i="6" s="1"/>
  <c r="H13" i="6"/>
  <c r="O13" i="6"/>
  <c r="M13" i="6"/>
  <c r="R13" i="6"/>
  <c r="P13" i="6"/>
  <c r="P14" i="6"/>
  <c r="O14" i="6"/>
  <c r="Q12" i="6"/>
  <c r="B15" i="6"/>
  <c r="L12" i="6" l="1"/>
  <c r="T12" i="6" s="1"/>
  <c r="U12" i="6" s="1"/>
  <c r="V12" i="6" s="1"/>
  <c r="N13" i="6"/>
  <c r="Q14" i="6"/>
  <c r="F14" i="6" a="1"/>
  <c r="F14" i="6" s="1"/>
  <c r="G14" i="6" s="1"/>
  <c r="I14" i="6"/>
  <c r="J14" i="6"/>
  <c r="L14" i="6" s="1"/>
  <c r="S14" i="6"/>
  <c r="N14" i="6"/>
  <c r="K13" i="6"/>
  <c r="J13" i="6"/>
  <c r="S13" i="6"/>
  <c r="I13" i="6"/>
  <c r="E13" i="6" a="1"/>
  <c r="E13" i="6" s="1"/>
  <c r="F13" i="6" a="1"/>
  <c r="F13" i="6" s="1"/>
  <c r="G13" i="6" s="1"/>
  <c r="B16" i="6"/>
  <c r="C15" i="6" a="1"/>
  <c r="C15" i="6" s="1"/>
  <c r="Q13" i="6"/>
  <c r="D15" i="6" l="1"/>
  <c r="W15" i="6"/>
  <c r="Y15" i="6"/>
  <c r="X15" i="6"/>
  <c r="T14" i="6"/>
  <c r="U14" i="6" s="1"/>
  <c r="V14" i="6" s="1"/>
  <c r="L13" i="6"/>
  <c r="T13" i="6" s="1"/>
  <c r="U13" i="6" s="1"/>
  <c r="V13" i="6" s="1"/>
  <c r="R15" i="6"/>
  <c r="M15" i="6"/>
  <c r="O15" i="6"/>
  <c r="P15" i="6"/>
  <c r="H15" i="6"/>
  <c r="C16" i="6" a="1"/>
  <c r="C16" i="6" s="1"/>
  <c r="B17" i="6"/>
  <c r="D16" i="6" l="1"/>
  <c r="X16" i="6"/>
  <c r="Y16" i="6"/>
  <c r="W16" i="6"/>
  <c r="N15" i="6"/>
  <c r="C17" i="6" a="1"/>
  <c r="C17" i="6" s="1"/>
  <c r="K15" i="6"/>
  <c r="I15" i="6"/>
  <c r="S15" i="6"/>
  <c r="J15" i="6"/>
  <c r="R16" i="6"/>
  <c r="O16" i="6"/>
  <c r="H16" i="6"/>
  <c r="M16" i="6"/>
  <c r="P16" i="6"/>
  <c r="B18" i="6"/>
  <c r="Q15" i="6"/>
  <c r="E15" i="6" a="1"/>
  <c r="E15" i="6" s="1"/>
  <c r="F15" i="6" a="1"/>
  <c r="F15" i="6" s="1"/>
  <c r="G15" i="6" s="1"/>
  <c r="D17" i="6" l="1"/>
  <c r="X17" i="6"/>
  <c r="W17" i="6"/>
  <c r="Y17" i="6"/>
  <c r="N16" i="6"/>
  <c r="B19" i="6"/>
  <c r="C18" i="6" a="1"/>
  <c r="C18" i="6" s="1"/>
  <c r="Q16" i="6"/>
  <c r="E16" i="6" a="1"/>
  <c r="E16" i="6" s="1"/>
  <c r="F16" i="6" a="1"/>
  <c r="F16" i="6" s="1"/>
  <c r="G16" i="6" s="1"/>
  <c r="B20" i="6"/>
  <c r="C20" i="6" s="1" a="1"/>
  <c r="C20" i="6" s="1"/>
  <c r="I16" i="6"/>
  <c r="J16" i="6"/>
  <c r="S16" i="6"/>
  <c r="K16" i="6"/>
  <c r="L15" i="6"/>
  <c r="T15" i="6" s="1"/>
  <c r="U15" i="6" s="1"/>
  <c r="V15" i="6" s="1"/>
  <c r="O17" i="6"/>
  <c r="M17" i="6"/>
  <c r="R17" i="6"/>
  <c r="H17" i="6"/>
  <c r="P17" i="6"/>
  <c r="D20" i="6" l="1"/>
  <c r="C22" i="68" s="1"/>
  <c r="X20" i="6"/>
  <c r="Y20" i="6"/>
  <c r="W20" i="6"/>
  <c r="D18" i="6"/>
  <c r="Y18" i="6"/>
  <c r="X18" i="6"/>
  <c r="W18" i="6"/>
  <c r="Q17" i="6"/>
  <c r="L16" i="6"/>
  <c r="T16" i="6" s="1"/>
  <c r="U16" i="6" s="1"/>
  <c r="V16" i="6" s="1"/>
  <c r="E17" i="6" a="1"/>
  <c r="E17" i="6" s="1"/>
  <c r="F17" i="6" a="1"/>
  <c r="F17" i="6" s="1"/>
  <c r="G17" i="6" s="1"/>
  <c r="R20" i="6"/>
  <c r="P20" i="6"/>
  <c r="M20" i="6"/>
  <c r="O20" i="6"/>
  <c r="H20" i="6"/>
  <c r="J17" i="6"/>
  <c r="K17" i="6"/>
  <c r="S17" i="6"/>
  <c r="I17" i="6"/>
  <c r="N17" i="6"/>
  <c r="R18" i="6"/>
  <c r="M18" i="6"/>
  <c r="O18" i="6"/>
  <c r="P18" i="6"/>
  <c r="H18" i="6"/>
  <c r="C19" i="6" a="1"/>
  <c r="C19" i="6" s="1"/>
  <c r="B21" i="6"/>
  <c r="D19" i="6" l="1"/>
  <c r="C21" i="68" s="1"/>
  <c r="Y19" i="6"/>
  <c r="W19" i="6"/>
  <c r="X19" i="6"/>
  <c r="N18" i="6"/>
  <c r="Q20" i="6"/>
  <c r="Q18" i="6"/>
  <c r="L17" i="6"/>
  <c r="T17" i="6" s="1"/>
  <c r="U17" i="6" s="1"/>
  <c r="V17" i="6" s="1"/>
  <c r="C21" i="6" a="1"/>
  <c r="C21" i="6" s="1"/>
  <c r="J20" i="6"/>
  <c r="I20" i="6"/>
  <c r="S20" i="6"/>
  <c r="K20" i="6"/>
  <c r="B22" i="6"/>
  <c r="B23" i="6" s="1"/>
  <c r="P19" i="6"/>
  <c r="M19" i="6"/>
  <c r="O19" i="6"/>
  <c r="R19" i="6"/>
  <c r="H19" i="6"/>
  <c r="E20" i="6" a="1"/>
  <c r="E20" i="6" s="1"/>
  <c r="F20" i="6" a="1"/>
  <c r="F20" i="6" s="1"/>
  <c r="G20" i="6" s="1"/>
  <c r="K18" i="6"/>
  <c r="S18" i="6"/>
  <c r="I18" i="6"/>
  <c r="J18" i="6"/>
  <c r="E18" i="6" a="1"/>
  <c r="E18" i="6" s="1"/>
  <c r="F18" i="6" a="1"/>
  <c r="F18" i="6" s="1"/>
  <c r="G18" i="6" s="1"/>
  <c r="N20" i="6"/>
  <c r="D21" i="6" l="1"/>
  <c r="C23" i="68" s="1"/>
  <c r="W21" i="6"/>
  <c r="X21" i="6"/>
  <c r="Y21" i="6"/>
  <c r="Q19" i="6"/>
  <c r="L18" i="6"/>
  <c r="T18" i="6" s="1"/>
  <c r="U18" i="6" s="1"/>
  <c r="V18" i="6" s="1"/>
  <c r="L20" i="6"/>
  <c r="T20" i="6" s="1"/>
  <c r="U20" i="6" s="1"/>
  <c r="V20" i="6" s="1"/>
  <c r="C23" i="6" a="1"/>
  <c r="C23" i="6" s="1"/>
  <c r="N19" i="6"/>
  <c r="K19" i="6"/>
  <c r="I19" i="6"/>
  <c r="S19" i="6"/>
  <c r="J19" i="6"/>
  <c r="E19" i="6" a="1"/>
  <c r="E19" i="6" s="1"/>
  <c r="F19" i="6" a="1"/>
  <c r="F19" i="6" s="1"/>
  <c r="G19" i="6" s="1"/>
  <c r="C22" i="6" a="1"/>
  <c r="C22" i="6" s="1"/>
  <c r="B24" i="6"/>
  <c r="C24" i="6" s="1" a="1"/>
  <c r="C24" i="6" s="1"/>
  <c r="P21" i="6"/>
  <c r="H21" i="6"/>
  <c r="O21" i="6"/>
  <c r="R21" i="6"/>
  <c r="M21" i="6"/>
  <c r="W24" i="6" l="1"/>
  <c r="Y24" i="6"/>
  <c r="X24" i="6"/>
  <c r="D23" i="6"/>
  <c r="C25" i="68" s="1"/>
  <c r="X23" i="6"/>
  <c r="W23" i="6"/>
  <c r="Y23" i="6"/>
  <c r="D22" i="6"/>
  <c r="C24" i="68" s="1"/>
  <c r="Y22" i="6"/>
  <c r="W22" i="6"/>
  <c r="X22" i="6"/>
  <c r="R24" i="6"/>
  <c r="D24" i="6"/>
  <c r="N21" i="6"/>
  <c r="Q21" i="6"/>
  <c r="L19" i="6"/>
  <c r="T19" i="6" s="1"/>
  <c r="U19" i="6" s="1"/>
  <c r="V19" i="6" s="1"/>
  <c r="I21" i="6"/>
  <c r="J21" i="6"/>
  <c r="S21" i="6"/>
  <c r="K21" i="6"/>
  <c r="E21" i="6" a="1"/>
  <c r="E21" i="6" s="1"/>
  <c r="F21" i="6" a="1"/>
  <c r="F21" i="6" s="1"/>
  <c r="G21" i="6" s="1"/>
  <c r="M22" i="6"/>
  <c r="R22" i="6"/>
  <c r="O22" i="6"/>
  <c r="P22" i="6"/>
  <c r="H22" i="6"/>
  <c r="H24" i="6"/>
  <c r="I24" i="6" s="1"/>
  <c r="P24" i="6"/>
  <c r="O24" i="6"/>
  <c r="B26" i="6"/>
  <c r="B27" i="6" s="1"/>
  <c r="B25" i="6"/>
  <c r="C25" i="6" s="1" a="1"/>
  <c r="C25" i="6" s="1"/>
  <c r="M24" i="6"/>
  <c r="H23" i="6"/>
  <c r="O23" i="6"/>
  <c r="R23" i="6"/>
  <c r="M23" i="6"/>
  <c r="P23" i="6"/>
  <c r="M25" i="6"/>
  <c r="E24" i="6" l="1" a="1"/>
  <c r="E24" i="6" s="1"/>
  <c r="C26" i="68"/>
  <c r="D25" i="6"/>
  <c r="X25" i="6"/>
  <c r="W25" i="6"/>
  <c r="Y25" i="6"/>
  <c r="O25" i="6"/>
  <c r="H25" i="6"/>
  <c r="J25" i="6" s="1"/>
  <c r="P25" i="6"/>
  <c r="R25" i="6"/>
  <c r="L21" i="6"/>
  <c r="T21" i="6" s="1"/>
  <c r="U21" i="6" s="1"/>
  <c r="V21" i="6" s="1"/>
  <c r="N23" i="6"/>
  <c r="Q22" i="6"/>
  <c r="Q24" i="6"/>
  <c r="F24" i="6" a="1"/>
  <c r="F24" i="6" s="1"/>
  <c r="G24" i="6" s="1"/>
  <c r="C26" i="6" a="1"/>
  <c r="C26" i="6" s="1"/>
  <c r="N24" i="6"/>
  <c r="S24" i="6"/>
  <c r="Q23" i="6"/>
  <c r="S22" i="6"/>
  <c r="K22" i="6"/>
  <c r="I22" i="6"/>
  <c r="J22" i="6"/>
  <c r="N22" i="6"/>
  <c r="K24" i="6"/>
  <c r="E23" i="6" a="1"/>
  <c r="E23" i="6" s="1"/>
  <c r="F23" i="6" a="1"/>
  <c r="F23" i="6" s="1"/>
  <c r="G23" i="6" s="1"/>
  <c r="J24" i="6"/>
  <c r="E22" i="6" a="1"/>
  <c r="E22" i="6" s="1"/>
  <c r="F22" i="6" a="1"/>
  <c r="F22" i="6" s="1"/>
  <c r="G22" i="6" s="1"/>
  <c r="J23" i="6"/>
  <c r="I23" i="6"/>
  <c r="K23" i="6"/>
  <c r="S23" i="6"/>
  <c r="E25" i="6" a="1"/>
  <c r="E25" i="6" s="1"/>
  <c r="C27" i="6" a="1"/>
  <c r="C27" i="6" s="1"/>
  <c r="B28" i="6"/>
  <c r="L24" i="6" l="1"/>
  <c r="N25" i="6"/>
  <c r="K25" i="6"/>
  <c r="I25" i="6"/>
  <c r="S25" i="6"/>
  <c r="D26" i="6"/>
  <c r="E26" i="6" s="1" a="1"/>
  <c r="E26" i="6" s="1"/>
  <c r="X26" i="6"/>
  <c r="Y26" i="6"/>
  <c r="W26" i="6"/>
  <c r="D27" i="6"/>
  <c r="E27" i="6" s="1" a="1"/>
  <c r="E27" i="6" s="1"/>
  <c r="Y27" i="6"/>
  <c r="X27" i="6"/>
  <c r="W27" i="6"/>
  <c r="Q25" i="6"/>
  <c r="P26" i="6"/>
  <c r="H26" i="6"/>
  <c r="I26" i="6" s="1"/>
  <c r="L22" i="6"/>
  <c r="T22" i="6" s="1"/>
  <c r="U22" i="6" s="1"/>
  <c r="V22" i="6" s="1"/>
  <c r="O26" i="6"/>
  <c r="M26" i="6"/>
  <c r="R26" i="6"/>
  <c r="T24" i="6"/>
  <c r="U24" i="6" s="1"/>
  <c r="V24" i="6" s="1"/>
  <c r="L23" i="6"/>
  <c r="T23" i="6" s="1"/>
  <c r="U23" i="6" s="1"/>
  <c r="V23" i="6" s="1"/>
  <c r="F25" i="6" a="1"/>
  <c r="F25" i="6" s="1"/>
  <c r="G25" i="6" s="1"/>
  <c r="L25" i="6"/>
  <c r="T25" i="6" s="1"/>
  <c r="C28" i="6" a="1"/>
  <c r="C28" i="6" s="1"/>
  <c r="B29" i="6"/>
  <c r="R27" i="6"/>
  <c r="M27" i="6"/>
  <c r="H27" i="6"/>
  <c r="P27" i="6"/>
  <c r="O27" i="6"/>
  <c r="U25" i="6" l="1"/>
  <c r="V25" i="6" s="1"/>
  <c r="S26" i="6"/>
  <c r="K26" i="6"/>
  <c r="J26" i="6"/>
  <c r="L26" i="6" s="1"/>
  <c r="N26" i="6"/>
  <c r="D28" i="6"/>
  <c r="E28" i="6" s="1" a="1"/>
  <c r="E28" i="6" s="1"/>
  <c r="X28" i="6"/>
  <c r="Y28" i="6"/>
  <c r="W28" i="6"/>
  <c r="Q26" i="6"/>
  <c r="F26" i="6" a="1"/>
  <c r="F26" i="6" s="1"/>
  <c r="G26" i="6" s="1"/>
  <c r="Q27" i="6"/>
  <c r="K27" i="6"/>
  <c r="J27" i="6"/>
  <c r="I27" i="6"/>
  <c r="S27" i="6"/>
  <c r="C29" i="6" a="1"/>
  <c r="C29" i="6" s="1"/>
  <c r="B30" i="6"/>
  <c r="F27" i="6" a="1"/>
  <c r="F27" i="6" s="1"/>
  <c r="G27" i="6" s="1"/>
  <c r="N27" i="6"/>
  <c r="P28" i="6"/>
  <c r="H28" i="6"/>
  <c r="M28" i="6"/>
  <c r="O28" i="6"/>
  <c r="R28" i="6"/>
  <c r="T26" i="6" l="1"/>
  <c r="U26" i="6" s="1"/>
  <c r="V26" i="6" s="1"/>
  <c r="D29" i="6"/>
  <c r="E29" i="6" s="1" a="1"/>
  <c r="E29" i="6" s="1"/>
  <c r="X29" i="6"/>
  <c r="W29" i="6"/>
  <c r="Y29" i="6"/>
  <c r="L27" i="6"/>
  <c r="T27" i="6" s="1"/>
  <c r="U27" i="6" s="1"/>
  <c r="V27" i="6" s="1"/>
  <c r="Q28" i="6"/>
  <c r="N28" i="6"/>
  <c r="C30" i="6" a="1"/>
  <c r="C30" i="6" s="1"/>
  <c r="B31" i="6"/>
  <c r="F28" i="6" a="1"/>
  <c r="F28" i="6" s="1"/>
  <c r="G28" i="6" s="1"/>
  <c r="H29" i="6"/>
  <c r="P29" i="6"/>
  <c r="R29" i="6"/>
  <c r="M29" i="6"/>
  <c r="O29" i="6"/>
  <c r="I28" i="6"/>
  <c r="S28" i="6"/>
  <c r="J28" i="6"/>
  <c r="K28" i="6"/>
  <c r="D30" i="6" l="1"/>
  <c r="E30" i="6" s="1" a="1"/>
  <c r="E30" i="6" s="1"/>
  <c r="X30" i="6"/>
  <c r="W30" i="6"/>
  <c r="Y30" i="6"/>
  <c r="N29" i="6"/>
  <c r="Q29" i="6"/>
  <c r="L28" i="6"/>
  <c r="T28" i="6" s="1"/>
  <c r="U28" i="6" s="1"/>
  <c r="V28" i="6" s="1"/>
  <c r="C31" i="6" a="1"/>
  <c r="C31" i="6" s="1"/>
  <c r="B32" i="6"/>
  <c r="F29" i="6" a="1"/>
  <c r="F29" i="6" s="1"/>
  <c r="G29" i="6" s="1"/>
  <c r="J29" i="6"/>
  <c r="I29" i="6"/>
  <c r="K29" i="6"/>
  <c r="S29" i="6"/>
  <c r="R30" i="6"/>
  <c r="M30" i="6"/>
  <c r="O30" i="6"/>
  <c r="H30" i="6"/>
  <c r="P30" i="6"/>
  <c r="D31" i="6" l="1"/>
  <c r="E31" i="6" s="1" a="1"/>
  <c r="E31" i="6" s="1"/>
  <c r="X31" i="6"/>
  <c r="Y31" i="6"/>
  <c r="W31" i="6"/>
  <c r="L29" i="6"/>
  <c r="T29" i="6" s="1"/>
  <c r="U29" i="6" s="1"/>
  <c r="V29" i="6" s="1"/>
  <c r="J30" i="6"/>
  <c r="L30" i="6" s="1"/>
  <c r="K30" i="6"/>
  <c r="I30" i="6"/>
  <c r="S30" i="6"/>
  <c r="Q30" i="6"/>
  <c r="O31" i="6"/>
  <c r="P31" i="6"/>
  <c r="H31" i="6"/>
  <c r="M31" i="6"/>
  <c r="R31" i="6"/>
  <c r="F30" i="6" a="1"/>
  <c r="F30" i="6" s="1"/>
  <c r="G30" i="6" s="1"/>
  <c r="N30" i="6"/>
  <c r="C32" i="6" a="1"/>
  <c r="C32" i="6" s="1"/>
  <c r="B33" i="6"/>
  <c r="D32" i="6" l="1"/>
  <c r="E32" i="6" s="1" a="1"/>
  <c r="E32" i="6" s="1"/>
  <c r="X32" i="6"/>
  <c r="W32" i="6"/>
  <c r="Y32" i="6"/>
  <c r="N31" i="6"/>
  <c r="T30" i="6"/>
  <c r="U30" i="6" s="1"/>
  <c r="V30" i="6" s="1"/>
  <c r="Q31" i="6"/>
  <c r="C33" i="6" a="1"/>
  <c r="C33" i="6" s="1"/>
  <c r="B34" i="6"/>
  <c r="P32" i="6"/>
  <c r="R32" i="6"/>
  <c r="M32" i="6"/>
  <c r="O32" i="6"/>
  <c r="H32" i="6"/>
  <c r="F31" i="6" a="1"/>
  <c r="F31" i="6" s="1"/>
  <c r="G31" i="6" s="1"/>
  <c r="K31" i="6"/>
  <c r="I31" i="6"/>
  <c r="J31" i="6"/>
  <c r="S31" i="6"/>
  <c r="D33" i="6" l="1"/>
  <c r="E33" i="6" s="1" a="1"/>
  <c r="E33" i="6" s="1"/>
  <c r="Y33" i="6"/>
  <c r="X33" i="6"/>
  <c r="W33" i="6"/>
  <c r="L31" i="6"/>
  <c r="T31" i="6" s="1"/>
  <c r="U31" i="6" s="1"/>
  <c r="V31" i="6" s="1"/>
  <c r="N32" i="6"/>
  <c r="C34" i="6" a="1"/>
  <c r="C34" i="6" s="1"/>
  <c r="B35" i="6"/>
  <c r="Q32" i="6"/>
  <c r="I32" i="6"/>
  <c r="S32" i="6"/>
  <c r="K32" i="6"/>
  <c r="J32" i="6"/>
  <c r="O33" i="6"/>
  <c r="H33" i="6"/>
  <c r="P33" i="6"/>
  <c r="M33" i="6"/>
  <c r="R33" i="6"/>
  <c r="F32" i="6" a="1"/>
  <c r="F32" i="6" s="1"/>
  <c r="G32" i="6" s="1"/>
  <c r="D34" i="6" l="1"/>
  <c r="E34" i="6" s="1" a="1"/>
  <c r="E34" i="6" s="1"/>
  <c r="X34" i="6"/>
  <c r="Y34" i="6"/>
  <c r="W34" i="6"/>
  <c r="N33" i="6"/>
  <c r="L32" i="6"/>
  <c r="T32" i="6" s="1"/>
  <c r="U32" i="6" s="1"/>
  <c r="V32" i="6" s="1"/>
  <c r="C35" i="6" a="1"/>
  <c r="C35" i="6" s="1"/>
  <c r="B36" i="6"/>
  <c r="F33" i="6" a="1"/>
  <c r="F33" i="6" s="1"/>
  <c r="G33" i="6" s="1"/>
  <c r="S33" i="6"/>
  <c r="J33" i="6"/>
  <c r="I33" i="6"/>
  <c r="K33" i="6"/>
  <c r="P34" i="6"/>
  <c r="M34" i="6"/>
  <c r="H34" i="6"/>
  <c r="O34" i="6"/>
  <c r="R34" i="6"/>
  <c r="Q33" i="6"/>
  <c r="D35" i="6" l="1"/>
  <c r="E35" i="6" s="1" a="1"/>
  <c r="E35" i="6" s="1"/>
  <c r="Y35" i="6"/>
  <c r="X35" i="6"/>
  <c r="W35" i="6"/>
  <c r="Q34" i="6"/>
  <c r="N34" i="6"/>
  <c r="L33" i="6"/>
  <c r="T33" i="6" s="1"/>
  <c r="U33" i="6" s="1"/>
  <c r="V33" i="6" s="1"/>
  <c r="F34" i="6" a="1"/>
  <c r="F34" i="6" s="1"/>
  <c r="G34" i="6" s="1"/>
  <c r="S34" i="6"/>
  <c r="I34" i="6"/>
  <c r="J34" i="6"/>
  <c r="K34" i="6"/>
  <c r="C36" i="6" a="1"/>
  <c r="C36" i="6" s="1"/>
  <c r="B37" i="6"/>
  <c r="P35" i="6"/>
  <c r="H35" i="6"/>
  <c r="O35" i="6"/>
  <c r="M35" i="6"/>
  <c r="R35" i="6"/>
  <c r="D36" i="6" l="1"/>
  <c r="E36" i="6" s="1" a="1"/>
  <c r="E36" i="6" s="1"/>
  <c r="Y36" i="6"/>
  <c r="X36" i="6"/>
  <c r="W36" i="6"/>
  <c r="Q35" i="6"/>
  <c r="N35" i="6"/>
  <c r="L34" i="6"/>
  <c r="T34" i="6" s="1"/>
  <c r="U34" i="6" s="1"/>
  <c r="V34" i="6" s="1"/>
  <c r="J35" i="6"/>
  <c r="K35" i="6"/>
  <c r="I35" i="6"/>
  <c r="S35" i="6"/>
  <c r="C37" i="6" a="1"/>
  <c r="C37" i="6" s="1"/>
  <c r="B38" i="6"/>
  <c r="F35" i="6" a="1"/>
  <c r="F35" i="6" s="1"/>
  <c r="G35" i="6" s="1"/>
  <c r="H36" i="6"/>
  <c r="R36" i="6"/>
  <c r="P36" i="6"/>
  <c r="O36" i="6"/>
  <c r="M36" i="6"/>
  <c r="D37" i="6" l="1"/>
  <c r="E37" i="6" s="1" a="1"/>
  <c r="E37" i="6" s="1"/>
  <c r="Y37" i="6"/>
  <c r="X37" i="6"/>
  <c r="W37" i="6"/>
  <c r="L35" i="6"/>
  <c r="T35" i="6" s="1"/>
  <c r="U35" i="6" s="1"/>
  <c r="V35" i="6" s="1"/>
  <c r="N36" i="6"/>
  <c r="Q36" i="6"/>
  <c r="R37" i="6"/>
  <c r="P37" i="6"/>
  <c r="O37" i="6"/>
  <c r="H37" i="6"/>
  <c r="M37" i="6"/>
  <c r="J36" i="6"/>
  <c r="S36" i="6"/>
  <c r="I36" i="6"/>
  <c r="K36" i="6"/>
  <c r="F36" i="6" a="1"/>
  <c r="F36" i="6" s="1"/>
  <c r="G36" i="6" s="1"/>
  <c r="C38" i="6" a="1"/>
  <c r="C38" i="6" s="1"/>
  <c r="B39" i="6"/>
  <c r="D38" i="6" l="1"/>
  <c r="E38" i="6" s="1" a="1"/>
  <c r="E38" i="6" s="1"/>
  <c r="W38" i="6"/>
  <c r="Y38" i="6"/>
  <c r="X38" i="6"/>
  <c r="Q37" i="6"/>
  <c r="L36" i="6"/>
  <c r="T36" i="6" s="1"/>
  <c r="U36" i="6" s="1"/>
  <c r="V36" i="6" s="1"/>
  <c r="N37" i="6"/>
  <c r="C39" i="6" a="1"/>
  <c r="C39" i="6" s="1"/>
  <c r="B40" i="6"/>
  <c r="M38" i="6"/>
  <c r="O38" i="6"/>
  <c r="H38" i="6"/>
  <c r="P38" i="6"/>
  <c r="R38" i="6"/>
  <c r="F37" i="6" a="1"/>
  <c r="F37" i="6" s="1"/>
  <c r="G37" i="6" s="1"/>
  <c r="J37" i="6"/>
  <c r="K37" i="6"/>
  <c r="I37" i="6"/>
  <c r="S37" i="6"/>
  <c r="D39" i="6" l="1"/>
  <c r="E39" i="6" s="1" a="1"/>
  <c r="E39" i="6" s="1"/>
  <c r="W39" i="6"/>
  <c r="Y39" i="6"/>
  <c r="X39" i="6"/>
  <c r="L37" i="6"/>
  <c r="T37" i="6" s="1"/>
  <c r="U37" i="6" s="1"/>
  <c r="V37" i="6" s="1"/>
  <c r="Q38" i="6"/>
  <c r="S38" i="6"/>
  <c r="J38" i="6"/>
  <c r="I38" i="6"/>
  <c r="K38" i="6"/>
  <c r="F38" i="6" a="1"/>
  <c r="F38" i="6" s="1"/>
  <c r="G38" i="6" s="1"/>
  <c r="N38" i="6"/>
  <c r="C40" i="6" a="1"/>
  <c r="C40" i="6" s="1"/>
  <c r="B41" i="6"/>
  <c r="P39" i="6"/>
  <c r="M39" i="6"/>
  <c r="O39" i="6"/>
  <c r="R39" i="6"/>
  <c r="H39" i="6"/>
  <c r="D40" i="6" l="1"/>
  <c r="E40" i="6" s="1" a="1"/>
  <c r="E40" i="6" s="1"/>
  <c r="X40" i="6"/>
  <c r="W40" i="6"/>
  <c r="Y40" i="6"/>
  <c r="Q39" i="6"/>
  <c r="L38" i="6"/>
  <c r="T38" i="6" s="1"/>
  <c r="U38" i="6" s="1"/>
  <c r="V38" i="6" s="1"/>
  <c r="F39" i="6" a="1"/>
  <c r="F39" i="6" s="1"/>
  <c r="G39" i="6" s="1"/>
  <c r="K39" i="6"/>
  <c r="I39" i="6"/>
  <c r="S39" i="6"/>
  <c r="J39" i="6"/>
  <c r="N39" i="6"/>
  <c r="C41" i="6" a="1"/>
  <c r="C41" i="6" s="1"/>
  <c r="B42" i="6"/>
  <c r="M40" i="6"/>
  <c r="H40" i="6"/>
  <c r="O40" i="6"/>
  <c r="P40" i="6"/>
  <c r="R40" i="6"/>
  <c r="D41" i="6" l="1"/>
  <c r="E41" i="6" s="1" a="1"/>
  <c r="E41" i="6" s="1"/>
  <c r="Y41" i="6"/>
  <c r="X41" i="6"/>
  <c r="W41" i="6"/>
  <c r="Q40" i="6"/>
  <c r="L39" i="6"/>
  <c r="T39" i="6" s="1"/>
  <c r="U39" i="6" s="1"/>
  <c r="V39" i="6" s="1"/>
  <c r="N40" i="6"/>
  <c r="C42" i="6" a="1"/>
  <c r="C42" i="6" s="1"/>
  <c r="B43" i="6"/>
  <c r="F40" i="6" a="1"/>
  <c r="F40" i="6" s="1"/>
  <c r="G40" i="6" s="1"/>
  <c r="K40" i="6"/>
  <c r="J40" i="6"/>
  <c r="S40" i="6"/>
  <c r="I40" i="6"/>
  <c r="O41" i="6"/>
  <c r="H41" i="6"/>
  <c r="R41" i="6"/>
  <c r="P41" i="6"/>
  <c r="M41" i="6"/>
  <c r="D42" i="6" l="1"/>
  <c r="E42" i="6" s="1" a="1"/>
  <c r="E42" i="6" s="1"/>
  <c r="Y42" i="6"/>
  <c r="X42" i="6"/>
  <c r="W42" i="6"/>
  <c r="Q41" i="6"/>
  <c r="L40" i="6"/>
  <c r="T40" i="6" s="1"/>
  <c r="U40" i="6" s="1"/>
  <c r="V40" i="6" s="1"/>
  <c r="I41" i="6"/>
  <c r="J41" i="6"/>
  <c r="K41" i="6"/>
  <c r="S41" i="6"/>
  <c r="N41" i="6"/>
  <c r="P42" i="6"/>
  <c r="H42" i="6"/>
  <c r="R42" i="6"/>
  <c r="M42" i="6"/>
  <c r="O42" i="6"/>
  <c r="F41" i="6" a="1"/>
  <c r="F41" i="6" s="1"/>
  <c r="G41" i="6" s="1"/>
  <c r="C43" i="6" a="1"/>
  <c r="C43" i="6" s="1"/>
  <c r="B44" i="6"/>
  <c r="D43" i="6" l="1"/>
  <c r="E43" i="6" s="1" a="1"/>
  <c r="E43" i="6" s="1"/>
  <c r="Y43" i="6"/>
  <c r="X43" i="6"/>
  <c r="W43" i="6"/>
  <c r="N42" i="6"/>
  <c r="Q42" i="6"/>
  <c r="L41" i="6"/>
  <c r="T41" i="6" s="1"/>
  <c r="U41" i="6" s="1"/>
  <c r="V41" i="6" s="1"/>
  <c r="M43" i="6"/>
  <c r="O43" i="6"/>
  <c r="H43" i="6"/>
  <c r="P43" i="6"/>
  <c r="R43" i="6"/>
  <c r="I42" i="6"/>
  <c r="S42" i="6"/>
  <c r="K42" i="6"/>
  <c r="J42" i="6"/>
  <c r="F42" i="6" a="1"/>
  <c r="F42" i="6" s="1"/>
  <c r="G42" i="6" s="1"/>
  <c r="C44" i="6" a="1"/>
  <c r="C44" i="6" s="1"/>
  <c r="B45" i="6"/>
  <c r="D44" i="6" l="1"/>
  <c r="E44" i="6" s="1" a="1"/>
  <c r="E44" i="6" s="1"/>
  <c r="X44" i="6"/>
  <c r="W44" i="6"/>
  <c r="Y44" i="6"/>
  <c r="L42" i="6"/>
  <c r="T42" i="6" s="1"/>
  <c r="U42" i="6" s="1"/>
  <c r="V42" i="6" s="1"/>
  <c r="C45" i="6" a="1"/>
  <c r="C45" i="6" s="1"/>
  <c r="B46" i="6"/>
  <c r="O44" i="6"/>
  <c r="P44" i="6"/>
  <c r="M44" i="6"/>
  <c r="H44" i="6"/>
  <c r="R44" i="6"/>
  <c r="I43" i="6"/>
  <c r="K43" i="6"/>
  <c r="J43" i="6"/>
  <c r="S43" i="6"/>
  <c r="Q43" i="6"/>
  <c r="N43" i="6"/>
  <c r="F43" i="6" a="1"/>
  <c r="F43" i="6" s="1"/>
  <c r="G43" i="6" s="1"/>
  <c r="D45" i="6" l="1"/>
  <c r="E45" i="6" s="1" a="1"/>
  <c r="E45" i="6" s="1"/>
  <c r="X45" i="6"/>
  <c r="W45" i="6"/>
  <c r="Y45" i="6"/>
  <c r="L43" i="6"/>
  <c r="T43" i="6" s="1"/>
  <c r="U43" i="6" s="1"/>
  <c r="V43" i="6" s="1"/>
  <c r="J44" i="6"/>
  <c r="I44" i="6"/>
  <c r="K44" i="6"/>
  <c r="S44" i="6"/>
  <c r="F44" i="6" a="1"/>
  <c r="F44" i="6" s="1"/>
  <c r="G44" i="6" s="1"/>
  <c r="Q44" i="6"/>
  <c r="C46" i="6" a="1"/>
  <c r="C46" i="6" s="1"/>
  <c r="B47" i="6"/>
  <c r="N44" i="6"/>
  <c r="M45" i="6"/>
  <c r="P45" i="6"/>
  <c r="O45" i="6"/>
  <c r="H45" i="6"/>
  <c r="R45" i="6"/>
  <c r="D46" i="6" l="1"/>
  <c r="E46" i="6" s="1" a="1"/>
  <c r="E46" i="6" s="1"/>
  <c r="W46" i="6"/>
  <c r="Y46" i="6"/>
  <c r="X46" i="6"/>
  <c r="Q45" i="6"/>
  <c r="L44" i="6"/>
  <c r="T44" i="6" s="1"/>
  <c r="U44" i="6" s="1"/>
  <c r="V44" i="6" s="1"/>
  <c r="J45" i="6"/>
  <c r="I45" i="6"/>
  <c r="S45" i="6"/>
  <c r="K45" i="6"/>
  <c r="N45" i="6"/>
  <c r="C47" i="6" a="1"/>
  <c r="C47" i="6" s="1"/>
  <c r="B48" i="6"/>
  <c r="P46" i="6"/>
  <c r="O46" i="6"/>
  <c r="R46" i="6"/>
  <c r="M46" i="6"/>
  <c r="H46" i="6"/>
  <c r="F45" i="6" a="1"/>
  <c r="F45" i="6" s="1"/>
  <c r="G45" i="6" s="1"/>
  <c r="D47" i="6" l="1"/>
  <c r="E47" i="6" s="1" a="1"/>
  <c r="E47" i="6" s="1"/>
  <c r="W47" i="6"/>
  <c r="Y47" i="6"/>
  <c r="X47" i="6"/>
  <c r="L45" i="6"/>
  <c r="T45" i="6" s="1"/>
  <c r="U45" i="6" s="1"/>
  <c r="V45" i="6" s="1"/>
  <c r="C48" i="6" a="1"/>
  <c r="C48" i="6" s="1"/>
  <c r="B49" i="6"/>
  <c r="F46" i="6" a="1"/>
  <c r="F46" i="6" s="1"/>
  <c r="G46" i="6" s="1"/>
  <c r="M47" i="6"/>
  <c r="P47" i="6"/>
  <c r="H47" i="6"/>
  <c r="R47" i="6"/>
  <c r="O47" i="6"/>
  <c r="Q46" i="6"/>
  <c r="J46" i="6"/>
  <c r="K46" i="6"/>
  <c r="S46" i="6"/>
  <c r="I46" i="6"/>
  <c r="N46" i="6"/>
  <c r="D48" i="6" l="1"/>
  <c r="E48" i="6" s="1" a="1"/>
  <c r="E48" i="6" s="1"/>
  <c r="Y48" i="6"/>
  <c r="X48" i="6"/>
  <c r="W48" i="6"/>
  <c r="Q47" i="6"/>
  <c r="L46" i="6"/>
  <c r="T46" i="6" s="1"/>
  <c r="U46" i="6" s="1"/>
  <c r="V46" i="6" s="1"/>
  <c r="I47" i="6"/>
  <c r="K47" i="6"/>
  <c r="S47" i="6"/>
  <c r="J47" i="6"/>
  <c r="N47" i="6"/>
  <c r="C49" i="6" a="1"/>
  <c r="C49" i="6" s="1"/>
  <c r="B50" i="6"/>
  <c r="F47" i="6" a="1"/>
  <c r="F47" i="6" s="1"/>
  <c r="G47" i="6" s="1"/>
  <c r="H48" i="6"/>
  <c r="R48" i="6"/>
  <c r="O48" i="6"/>
  <c r="M48" i="6"/>
  <c r="P48" i="6"/>
  <c r="D49" i="6" l="1"/>
  <c r="Y49" i="6"/>
  <c r="X49" i="6"/>
  <c r="W49" i="6"/>
  <c r="Q48" i="6"/>
  <c r="N48" i="6"/>
  <c r="L47" i="6"/>
  <c r="T47" i="6" s="1"/>
  <c r="U47" i="6" s="1"/>
  <c r="V47" i="6" s="1"/>
  <c r="F48" i="6" a="1"/>
  <c r="F48" i="6" s="1"/>
  <c r="G48" i="6" s="1"/>
  <c r="S48" i="6"/>
  <c r="I48" i="6"/>
  <c r="K48" i="6"/>
  <c r="J48" i="6"/>
  <c r="C50" i="6" a="1"/>
  <c r="C50" i="6" s="1"/>
  <c r="B51" i="6"/>
  <c r="M49" i="6"/>
  <c r="E49" i="6" a="1"/>
  <c r="E49" i="6" s="1"/>
  <c r="P49" i="6"/>
  <c r="H49" i="6"/>
  <c r="R49" i="6"/>
  <c r="O49" i="6"/>
  <c r="D50" i="6" l="1"/>
  <c r="E50" i="6" s="1" a="1"/>
  <c r="E50" i="6" s="1"/>
  <c r="X50" i="6"/>
  <c r="Y50" i="6"/>
  <c r="W50" i="6"/>
  <c r="Q49" i="6"/>
  <c r="L48" i="6"/>
  <c r="T48" i="6" s="1"/>
  <c r="U48" i="6" s="1"/>
  <c r="V48" i="6" s="1"/>
  <c r="N49" i="6"/>
  <c r="F49" i="6" a="1"/>
  <c r="F49" i="6" s="1"/>
  <c r="G49" i="6" s="1"/>
  <c r="C51" i="6" a="1"/>
  <c r="C51" i="6" s="1"/>
  <c r="B52" i="6"/>
  <c r="J49" i="6"/>
  <c r="I49" i="6"/>
  <c r="K49" i="6"/>
  <c r="S49" i="6"/>
  <c r="R50" i="6"/>
  <c r="M50" i="6"/>
  <c r="P50" i="6"/>
  <c r="O50" i="6"/>
  <c r="H50" i="6"/>
  <c r="D51" i="6" l="1"/>
  <c r="E51" i="6" s="1" a="1"/>
  <c r="E51" i="6" s="1"/>
  <c r="X51" i="6"/>
  <c r="Y51" i="6"/>
  <c r="W51" i="6"/>
  <c r="Q50" i="6"/>
  <c r="L49" i="6"/>
  <c r="T49" i="6" s="1"/>
  <c r="U49" i="6" s="1"/>
  <c r="V49" i="6" s="1"/>
  <c r="K50" i="6"/>
  <c r="J50" i="6"/>
  <c r="I50" i="6"/>
  <c r="S50" i="6"/>
  <c r="C52" i="6" a="1"/>
  <c r="C52" i="6" s="1"/>
  <c r="B53" i="6"/>
  <c r="N50" i="6"/>
  <c r="O51" i="6"/>
  <c r="R51" i="6"/>
  <c r="M51" i="6"/>
  <c r="H51" i="6"/>
  <c r="P51" i="6"/>
  <c r="F50" i="6" a="1"/>
  <c r="F50" i="6" s="1"/>
  <c r="G50" i="6" s="1"/>
  <c r="D52" i="6" l="1"/>
  <c r="E52" i="6" s="1" a="1"/>
  <c r="E52" i="6" s="1"/>
  <c r="X52" i="6"/>
  <c r="W52" i="6"/>
  <c r="Y52" i="6"/>
  <c r="N51" i="6"/>
  <c r="L50" i="6"/>
  <c r="T50" i="6" s="1"/>
  <c r="U50" i="6" s="1"/>
  <c r="V50" i="6" s="1"/>
  <c r="F51" i="6" a="1"/>
  <c r="F51" i="6" s="1"/>
  <c r="G51" i="6" s="1"/>
  <c r="M52" i="6"/>
  <c r="H52" i="6"/>
  <c r="R52" i="6"/>
  <c r="P52" i="6"/>
  <c r="O52" i="6"/>
  <c r="Q51" i="6"/>
  <c r="S51" i="6"/>
  <c r="I51" i="6"/>
  <c r="J51" i="6"/>
  <c r="K51" i="6"/>
  <c r="C53" i="6" a="1"/>
  <c r="C53" i="6" s="1"/>
  <c r="B54" i="6"/>
  <c r="D53" i="6" l="1"/>
  <c r="E53" i="6" s="1" a="1"/>
  <c r="E53" i="6" s="1"/>
  <c r="W53" i="6"/>
  <c r="Y53" i="6"/>
  <c r="X53" i="6"/>
  <c r="Q52" i="6"/>
  <c r="L51" i="6"/>
  <c r="T51" i="6" s="1"/>
  <c r="U51" i="6" s="1"/>
  <c r="V51" i="6" s="1"/>
  <c r="C54" i="6" a="1"/>
  <c r="C54" i="6" s="1"/>
  <c r="B55" i="6"/>
  <c r="S52" i="6"/>
  <c r="I52" i="6"/>
  <c r="K52" i="6"/>
  <c r="J52" i="6"/>
  <c r="M53" i="6"/>
  <c r="P53" i="6"/>
  <c r="R53" i="6"/>
  <c r="H53" i="6"/>
  <c r="O53" i="6"/>
  <c r="F52" i="6" a="1"/>
  <c r="F52" i="6" s="1"/>
  <c r="G52" i="6" s="1"/>
  <c r="N52" i="6"/>
  <c r="D54" i="6" l="1"/>
  <c r="E54" i="6" s="1" a="1"/>
  <c r="E54" i="6" s="1"/>
  <c r="X54" i="6"/>
  <c r="Y54" i="6"/>
  <c r="W54" i="6"/>
  <c r="Q53" i="6"/>
  <c r="L52" i="6"/>
  <c r="T52" i="6" s="1"/>
  <c r="U52" i="6" s="1"/>
  <c r="V52" i="6" s="1"/>
  <c r="K53" i="6"/>
  <c r="J53" i="6"/>
  <c r="I53" i="6"/>
  <c r="S53" i="6"/>
  <c r="F53" i="6" a="1"/>
  <c r="F53" i="6" s="1"/>
  <c r="G53" i="6" s="1"/>
  <c r="N53" i="6"/>
  <c r="C55" i="6" a="1"/>
  <c r="C55" i="6" s="1"/>
  <c r="B56" i="6"/>
  <c r="H54" i="6"/>
  <c r="M54" i="6"/>
  <c r="O54" i="6"/>
  <c r="R54" i="6"/>
  <c r="P54" i="6"/>
  <c r="D55" i="6" l="1"/>
  <c r="W55" i="6"/>
  <c r="Y55" i="6"/>
  <c r="X55" i="6"/>
  <c r="N54" i="6"/>
  <c r="L53" i="6"/>
  <c r="T53" i="6" s="1"/>
  <c r="U53" i="6" s="1"/>
  <c r="V53" i="6" s="1"/>
  <c r="F54" i="6" a="1"/>
  <c r="F54" i="6" s="1"/>
  <c r="G54" i="6" s="1"/>
  <c r="C56" i="6" a="1"/>
  <c r="C56" i="6" s="1"/>
  <c r="B57" i="6"/>
  <c r="C57" i="6" s="1" a="1"/>
  <c r="C57" i="6" s="1"/>
  <c r="H55" i="6"/>
  <c r="O55" i="6"/>
  <c r="P55" i="6"/>
  <c r="E55" i="6" a="1"/>
  <c r="E55" i="6" s="1"/>
  <c r="R55" i="6"/>
  <c r="M55" i="6"/>
  <c r="Q54" i="6"/>
  <c r="I54" i="6"/>
  <c r="K54" i="6"/>
  <c r="J54" i="6"/>
  <c r="S54" i="6"/>
  <c r="D57" i="6" l="1"/>
  <c r="C20" i="68" s="1"/>
  <c r="W57" i="6"/>
  <c r="Y57" i="6"/>
  <c r="X57" i="6"/>
  <c r="D56" i="6"/>
  <c r="E56" i="6" s="1" a="1"/>
  <c r="E56" i="6" s="1"/>
  <c r="W56" i="6"/>
  <c r="Y56" i="6"/>
  <c r="X56" i="6"/>
  <c r="N55" i="6"/>
  <c r="Q55" i="6"/>
  <c r="L54" i="6"/>
  <c r="T54" i="6" s="1"/>
  <c r="U54" i="6" s="1"/>
  <c r="V54" i="6" s="1"/>
  <c r="F55" i="6" a="1"/>
  <c r="F55" i="6" s="1"/>
  <c r="G55" i="6" s="1"/>
  <c r="P57" i="6"/>
  <c r="O57" i="6"/>
  <c r="H57" i="6"/>
  <c r="R57" i="6"/>
  <c r="M57" i="6"/>
  <c r="K55" i="6"/>
  <c r="S55" i="6"/>
  <c r="J55" i="6"/>
  <c r="I55" i="6"/>
  <c r="O56" i="6"/>
  <c r="P56" i="6"/>
  <c r="R56" i="6"/>
  <c r="M56" i="6"/>
  <c r="H56" i="6"/>
  <c r="E57" i="6" l="1" a="1"/>
  <c r="E57" i="6" s="1"/>
  <c r="C18" i="68"/>
  <c r="C19" i="68"/>
  <c r="C16" i="68"/>
  <c r="C17" i="68"/>
  <c r="C14" i="68"/>
  <c r="C15" i="68"/>
  <c r="N57" i="6"/>
  <c r="Q57" i="6"/>
  <c r="L55" i="6"/>
  <c r="T55" i="6" s="1"/>
  <c r="U55" i="6" s="1"/>
  <c r="V55" i="6" s="1"/>
  <c r="S56" i="6"/>
  <c r="I56" i="6"/>
  <c r="J56" i="6"/>
  <c r="K56" i="6"/>
  <c r="Q56" i="6"/>
  <c r="N56" i="6"/>
  <c r="F56" i="6" a="1"/>
  <c r="F56" i="6" s="1"/>
  <c r="G56" i="6" s="1"/>
  <c r="F57" i="6" a="1"/>
  <c r="F57" i="6" s="1"/>
  <c r="G57" i="6" s="1"/>
  <c r="I57" i="6"/>
  <c r="K57" i="6"/>
  <c r="S57" i="6"/>
  <c r="J57" i="6"/>
  <c r="L57" i="6" l="1"/>
  <c r="T57" i="6" s="1"/>
  <c r="U57" i="6" s="1"/>
  <c r="V57" i="6" s="1"/>
  <c r="L56" i="6"/>
  <c r="T56" i="6" s="1"/>
  <c r="U56" i="6" s="1"/>
  <c r="V56"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26306A-E8D7-40C0-A6EA-6155ABF60DD0}" keepAlive="1" name="Query - Axis_Data" description="Connection to the 'Axis_Data' query in the workbook." type="5" refreshedVersion="8" background="1" saveData="1">
    <dbPr connection="Provider=Microsoft.Mashup.OleDb.1;Data Source=$Workbook$;Location=Axis_Data;Extended Properties=&quot;&quot;" command="SELECT * FROM [Axis_Data]"/>
  </connection>
  <connection id="2" xr16:uid="{085F5228-0D4F-40A5-826F-95D1047D2277}" keepAlive="1" name="Query - Level Verification" description="Connection to the 'Level Verification' query in the workbook." type="5" refreshedVersion="8" background="1" saveData="1">
    <dbPr connection="Provider=Microsoft.Mashup.OleDb.1;Data Source=$Workbook$;Location=&quot;Level Verification&quot;;Extended Properties=&quot;&quot;" command="SELECT * FROM [Level Verification]"/>
  </connection>
  <connection id="3" xr16:uid="{17A77720-AEB6-4018-BAA7-A6055CE29517}" keepAlive="1" name="Query - Level_verification_calculations" description="Connection to the 'Level_verification_calculations' query in the workbook." type="5" refreshedVersion="0" background="1" saveData="1">
    <dbPr connection="Provider=Microsoft.Mashup.OleDb.1;Data Source=$Workbook$;Location=Level_verification_calculations;Extended Properties=&quot;&quot;" command="SELECT * FROM [Level_verification_calculations]"/>
  </connection>
  <connection id="4" xr16:uid="{FDBD9A5E-86D1-4F65-A6C0-F10F701FF727}" keepAlive="1" name="Query - Reference_Table" description="Connection to the 'Reference_Table' query in the workbook." type="5" refreshedVersion="8" background="1" saveData="1">
    <dbPr connection="Provider=Microsoft.Mashup.OleDb.1;Data Source=$Workbook$;Location=Reference_Table;Extended Properties=&quot;&quot;" command="SELECT * FROM [Reference_Table]"/>
  </connection>
  <connection id="5" xr16:uid="{342702E4-D9E6-48B8-BB2B-B41CF08EE46A}" keepAlive="1" name="Query - Section_Property" description="Connection to the 'Section_Property' query in the workbook." type="5" refreshedVersion="8" background="1" saveData="1">
    <dbPr connection="Provider=Microsoft.Mashup.OleDb.1;Data Source=$Workbook$;Location=Section_Property;Extended Properties=&quot;&quot;" command="SELECT * FROM [Section_Property]"/>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<sst xmlns="http://schemas.openxmlformats.org/spreadsheetml/2006/main" count="646" uniqueCount="303">
  <si>
    <t>L</t>
  </si>
  <si>
    <t>E</t>
  </si>
  <si>
    <t>K</t>
  </si>
  <si>
    <t>a</t>
  </si>
  <si>
    <t>PVC</t>
  </si>
  <si>
    <t>PVI</t>
  </si>
  <si>
    <t>PVT</t>
  </si>
  <si>
    <t>PVC 
[STATION]</t>
  </si>
  <si>
    <t>PVC 
[ELEVATION]</t>
  </si>
  <si>
    <t>PVI
[STATION]</t>
  </si>
  <si>
    <t>PVI
[ELEVATION]</t>
  </si>
  <si>
    <t>PVT
[STATION]</t>
  </si>
  <si>
    <t>PVT
[ELEVATION]</t>
  </si>
  <si>
    <t>Axes</t>
  </si>
  <si>
    <t>Station</t>
  </si>
  <si>
    <t>A</t>
  </si>
  <si>
    <t>b</t>
  </si>
  <si>
    <t>A (difference)</t>
  </si>
  <si>
    <t>A1</t>
  </si>
  <si>
    <t>A2</t>
  </si>
  <si>
    <t>P1</t>
  </si>
  <si>
    <t>P2</t>
  </si>
  <si>
    <t>P3</t>
  </si>
  <si>
    <t>Axes Type</t>
  </si>
  <si>
    <t>Alignment Elevation</t>
  </si>
  <si>
    <t>where:</t>
  </si>
  <si>
    <t>y = bx+c</t>
  </si>
  <si>
    <t>Foundation Level</t>
  </si>
  <si>
    <t>Foundation Depth</t>
  </si>
  <si>
    <t>Asphalt Thickness</t>
  </si>
  <si>
    <t>DWGs DATA</t>
  </si>
  <si>
    <t>Structure Elevation</t>
  </si>
  <si>
    <t>Alignment-Structure Axis Offset</t>
  </si>
  <si>
    <t>Elevation Lookup by Station</t>
  </si>
  <si>
    <t>Date:</t>
  </si>
  <si>
    <t>#</t>
  </si>
  <si>
    <t>Bearing axis</t>
  </si>
  <si>
    <t>Fixed axis</t>
  </si>
  <si>
    <t>Remark</t>
  </si>
  <si>
    <t>Index</t>
  </si>
  <si>
    <t>Reference Doc.:</t>
  </si>
  <si>
    <t>Height Difference (m)</t>
  </si>
  <si>
    <t>Top of Foundation Concrete</t>
  </si>
  <si>
    <t>Pier Height (IFC DWG)</t>
  </si>
  <si>
    <t>Pier Elevation</t>
  </si>
  <si>
    <t>Height Difference (m) = Pier Height (IFC DWG) − Pier Height (Calculated)</t>
  </si>
  <si>
    <t>Pier Height (Calculated)</t>
  </si>
  <si>
    <t>Conditional Formating</t>
  </si>
  <si>
    <t>Structure Elevation comes from the alignment axis elevation, applying axis offset, superelevation, and subtracting asphalt thickness.
Structure Elevation = Alignment Axis Elevation + (Axis Offset × ± Superelevation) − Asphalt Thickness</t>
  </si>
  <si>
    <t>Pier Height is derived from Column Elevation minus the Top of Foundation Concrete.
Pier Height = Pier Elevation − Top of Foundation Concrete (TOC)</t>
  </si>
  <si>
    <t>Straight</t>
  </si>
  <si>
    <t>P4</t>
  </si>
  <si>
    <t>P5</t>
  </si>
  <si>
    <t>Value Difference Check</t>
  </si>
  <si>
    <t>min</t>
  </si>
  <si>
    <t>max</t>
  </si>
  <si>
    <t>Point</t>
  </si>
  <si>
    <t>Section</t>
  </si>
  <si>
    <t>##</t>
  </si>
  <si>
    <t>###</t>
  </si>
  <si>
    <t>Elevation Calculation &amp; Compliance Check</t>
  </si>
  <si>
    <t>Segment Type</t>
  </si>
  <si>
    <t>Segment Number</t>
  </si>
  <si>
    <t>Superelevation (e%)</t>
  </si>
  <si>
    <t>Superstructure Depth</t>
  </si>
  <si>
    <t>Bearing Height</t>
  </si>
  <si>
    <r>
      <rPr>
        <b/>
        <sz val="11"/>
        <color theme="0" tint="-4.9989318521683403E-2"/>
        <rFont val="Consolas"/>
        <family val="3"/>
      </rPr>
      <t>Profile Segment Type:</t>
    </r>
    <r>
      <rPr>
        <sz val="11"/>
        <color theme="0" tint="-4.9989318521683403E-2"/>
        <rFont val="Consolas"/>
        <family val="3"/>
      </rPr>
      <t xml:space="preserve"> Specify whether the segment is a Straight or a Curve.</t>
    </r>
  </si>
  <si>
    <r>
      <rPr>
        <b/>
        <sz val="11"/>
        <color theme="0" tint="-4.9989318521683403E-2"/>
        <rFont val="Consolas"/>
        <family val="3"/>
      </rPr>
      <t>Section:</t>
    </r>
    <r>
      <rPr>
        <sz val="11"/>
        <color theme="0" tint="-4.9989318521683403E-2"/>
        <rFont val="Consolas"/>
        <family val="3"/>
      </rPr>
      <t xml:space="preserve"> Identify the specific section of the structure.</t>
    </r>
  </si>
  <si>
    <r>
      <rPr>
        <b/>
        <sz val="11"/>
        <color theme="0" tint="-4.9989318521683403E-2"/>
        <rFont val="Consolas"/>
        <family val="3"/>
      </rPr>
      <t>Alignment-Structure Axis Offset:</t>
    </r>
    <r>
      <rPr>
        <sz val="11"/>
        <color theme="0" tint="-4.9989318521683403E-2"/>
        <rFont val="Consolas"/>
        <family val="3"/>
      </rPr>
      <t xml:space="preserve"> Specify the horizontal offset between the alignment axis and the structure axis.</t>
    </r>
  </si>
  <si>
    <r>
      <rPr>
        <b/>
        <sz val="11"/>
        <color theme="0" tint="-4.9989318521683403E-2"/>
        <rFont val="Consolas"/>
        <family val="3"/>
      </rPr>
      <t>Superelevation (e%):</t>
    </r>
    <r>
      <rPr>
        <sz val="11"/>
        <color theme="0" tint="-4.9989318521683403E-2"/>
        <rFont val="Consolas"/>
        <family val="3"/>
      </rPr>
      <t xml:space="preserve"> Enter the cross slope percentage of the road.</t>
    </r>
  </si>
  <si>
    <r>
      <rPr>
        <b/>
        <sz val="11"/>
        <color theme="0" tint="-4.9989318521683403E-2"/>
        <rFont val="Consolas"/>
        <family val="3"/>
      </rPr>
      <t>Asphalt Thickness:</t>
    </r>
    <r>
      <rPr>
        <sz val="11"/>
        <color theme="0" tint="-4.9989318521683403E-2"/>
        <rFont val="Consolas"/>
        <family val="3"/>
      </rPr>
      <t xml:space="preserve"> Provide the thickness of the asphalt layer.</t>
    </r>
  </si>
  <si>
    <r>
      <rPr>
        <b/>
        <sz val="11"/>
        <color theme="0" tint="-4.9989318521683403E-2"/>
        <rFont val="Consolas"/>
        <family val="3"/>
      </rPr>
      <t>Superstructure Depth:</t>
    </r>
    <r>
      <rPr>
        <sz val="11"/>
        <color theme="0" tint="-4.9989318521683403E-2"/>
        <rFont val="Consolas"/>
        <family val="3"/>
      </rPr>
      <t xml:space="preserve"> Enter the total depth of the deck.</t>
    </r>
  </si>
  <si>
    <r>
      <rPr>
        <b/>
        <sz val="11"/>
        <color theme="0" tint="-4.9989318521683403E-2"/>
        <rFont val="Consolas"/>
        <family val="3"/>
      </rPr>
      <t>Bearing Height:</t>
    </r>
    <r>
      <rPr>
        <sz val="11"/>
        <color theme="0" tint="-4.9989318521683403E-2"/>
        <rFont val="Consolas"/>
        <family val="3"/>
      </rPr>
      <t xml:space="preserve"> Specify the design bearing height at the support.</t>
    </r>
  </si>
  <si>
    <r>
      <rPr>
        <b/>
        <sz val="11"/>
        <color theme="0" tint="-4.9989318521683403E-2"/>
        <rFont val="Consolas"/>
        <family val="3"/>
      </rPr>
      <t>Station:</t>
    </r>
    <r>
      <rPr>
        <sz val="11"/>
        <color theme="0" tint="-4.9989318521683403E-2"/>
        <rFont val="Consolas"/>
        <family val="3"/>
      </rPr>
      <t xml:space="preserve"> Specify the station where the superstructure axis intersects the perpendicular substructure axis.</t>
    </r>
  </si>
  <si>
    <r>
      <rPr>
        <b/>
        <sz val="11"/>
        <color theme="0" tint="-4.9989318521683403E-2"/>
        <rFont val="Consolas"/>
        <family val="3"/>
      </rPr>
      <t>Foundation Level:</t>
    </r>
    <r>
      <rPr>
        <sz val="11"/>
        <color theme="0" tint="-4.9989318521683403E-2"/>
        <rFont val="Consolas"/>
        <family val="3"/>
      </rPr>
      <t xml:space="preserve"> Specify the base level of the foundation.</t>
    </r>
  </si>
  <si>
    <r>
      <rPr>
        <b/>
        <sz val="11"/>
        <color theme="0" tint="-4.9989318521683403E-2"/>
        <rFont val="Consolas"/>
        <family val="3"/>
      </rPr>
      <t>Foundation Depth:</t>
    </r>
    <r>
      <rPr>
        <sz val="11"/>
        <color theme="0" tint="-4.9989318521683403E-2"/>
        <rFont val="Consolas"/>
        <family val="3"/>
      </rPr>
      <t xml:space="preserve"> Specify the depth of the foundation from the base level.</t>
    </r>
  </si>
  <si>
    <r>
      <rPr>
        <b/>
        <sz val="11"/>
        <color theme="0" tint="-4.9989318521683403E-2"/>
        <rFont val="Consolas"/>
        <family val="3"/>
      </rPr>
      <t>Pier Height:</t>
    </r>
    <r>
      <rPr>
        <sz val="11"/>
        <color theme="0" tint="-4.9989318521683403E-2"/>
        <rFont val="Consolas"/>
        <family val="3"/>
      </rPr>
      <t xml:space="preserve"> Specify the height of the pier excluding the bearing height (if applicable).</t>
    </r>
  </si>
  <si>
    <r>
      <rPr>
        <b/>
        <sz val="11"/>
        <color theme="0" tint="-4.9989318521683403E-2"/>
        <rFont val="Consolas"/>
        <family val="3"/>
      </rPr>
      <t>Section:</t>
    </r>
    <r>
      <rPr>
        <sz val="11"/>
        <color theme="0" tint="-4.9989318521683403E-2"/>
        <rFont val="Consolas"/>
        <family val="3"/>
      </rPr>
      <t xml:space="preserve"> Assign a section name from the drop-down list.</t>
    </r>
  </si>
  <si>
    <r>
      <rPr>
        <b/>
        <sz val="11"/>
        <color theme="0" tint="-4.9989318521683403E-2"/>
        <rFont val="Consolas"/>
        <family val="3"/>
      </rPr>
      <t>Segment Number:</t>
    </r>
    <r>
      <rPr>
        <sz val="11"/>
        <color theme="0" tint="-4.9989318521683403E-2"/>
        <rFont val="Consolas"/>
        <family val="3"/>
      </rPr>
      <t xml:space="preserve"> A unique identifier assigned to each profile segment.</t>
    </r>
  </si>
  <si>
    <t>Station and Elevation:</t>
  </si>
  <si>
    <t>Straight Segment: Enter the start and end station and their corresponding elevations.</t>
  </si>
  <si>
    <t>Vertical Curve</t>
  </si>
  <si>
    <t>Vertical Curve Segment: Vertical Curve, a parabolic section used to connect two tangents with different slopes smoothly.</t>
  </si>
  <si>
    <t>Straight Segment: A linear section with a constant slope.</t>
  </si>
  <si>
    <t>Substructure (الجزء السفلي): الركائز، الأعمدة، الدعامات، الأساسات.</t>
  </si>
  <si>
    <t>Superstructure (الجزء العلوي): الكمرات، البلاطة، السطح الذي يمر عليه المرور (Deck)، الحواجز، الإنارة، وكل ما هو فوق الركائز.</t>
  </si>
  <si>
    <t>According to the road alignment longitudinal profile</t>
  </si>
  <si>
    <t>According to structural drawings</t>
  </si>
  <si>
    <t>According to excavation drawings</t>
  </si>
  <si>
    <t>Pier Elevation is derived from the Structure Elevation by subtracting the deck height and design bearing height, considering whether the axis is fixed or bearing.
Pier Elevation = Structure Elevation − SuperStructure Height − Bearing Height</t>
  </si>
  <si>
    <r>
      <t xml:space="preserve">2. Inputting </t>
    </r>
    <r>
      <rPr>
        <b/>
        <sz val="11"/>
        <color theme="9"/>
        <rFont val="Consolas"/>
        <family val="3"/>
      </rPr>
      <t>Superstructure Data</t>
    </r>
    <r>
      <rPr>
        <b/>
        <sz val="11"/>
        <color theme="0" tint="-4.9989318521683403E-2"/>
        <rFont val="Consolas"/>
        <family val="3"/>
      </rPr>
      <t>.</t>
    </r>
  </si>
  <si>
    <r>
      <t xml:space="preserve">3. Inputting </t>
    </r>
    <r>
      <rPr>
        <b/>
        <sz val="11"/>
        <color theme="9"/>
        <rFont val="Consolas"/>
        <family val="3"/>
      </rPr>
      <t>Substructure Data</t>
    </r>
    <r>
      <rPr>
        <b/>
        <sz val="11"/>
        <color theme="0" tint="-4.9989318521683403E-2"/>
        <rFont val="Consolas"/>
        <family val="3"/>
      </rPr>
      <t>.</t>
    </r>
  </si>
  <si>
    <t>#####</t>
  </si>
  <si>
    <r>
      <t xml:space="preserve">This sheet was developed by Eng. </t>
    </r>
    <r>
      <rPr>
        <b/>
        <sz val="11"/>
        <color theme="0" tint="-4.9989318521683403E-2"/>
        <rFont val="Consolas"/>
        <family val="3"/>
      </rPr>
      <t>Muhammad Bayoumi Ali</t>
    </r>
  </si>
  <si>
    <r>
      <rPr>
        <b/>
        <sz val="26"/>
        <color theme="9"/>
        <rFont val="Consolas"/>
        <family val="3"/>
      </rPr>
      <t>Alignment</t>
    </r>
    <r>
      <rPr>
        <b/>
        <sz val="26"/>
        <rFont val="Consolas"/>
        <family val="3"/>
      </rPr>
      <t xml:space="preserve"> Profile Data</t>
    </r>
  </si>
  <si>
    <t>muhammad.bayoumi.ali@gmail.com</t>
  </si>
  <si>
    <t>E-mail</t>
  </si>
  <si>
    <t>Linkedin</t>
  </si>
  <si>
    <t>How to Extract and Enter Station &amp; Elevation Data</t>
  </si>
  <si>
    <t>Go to the GEOMETRY LONGITUDINAL PROFILE page in the project documents.</t>
  </si>
  <si>
    <t>1.</t>
  </si>
  <si>
    <t>2.</t>
  </si>
  <si>
    <t>3.</t>
  </si>
  <si>
    <t>4.</t>
  </si>
  <si>
    <t>5.</t>
  </si>
  <si>
    <t>Identify the segment type (Straight or Vertical Curve).</t>
  </si>
  <si>
    <t>Take the start station and elevation.</t>
  </si>
  <si>
    <t>Take the end station and elevation.</t>
  </si>
  <si>
    <t>Extract the station and elevation data as follows:</t>
  </si>
  <si>
    <t>Straight Segment:</t>
  </si>
  <si>
    <t>Vertical Curve Segment:</t>
  </si>
  <si>
    <t>Extract PVC (Point of Vertical Curve) station and elevation.</t>
  </si>
  <si>
    <t>.</t>
  </si>
  <si>
    <t>Extract PVI (Point of Vertical Intersection) station and elevation.</t>
  </si>
  <si>
    <t>Extract PVT (Point of Vertical Tangent) station and elevation.</t>
  </si>
  <si>
    <t>Enter the extracted values into the sheet under the corresponding segment.</t>
  </si>
  <si>
    <t>Verify the sequence of stations and confirm elevations are consistent with the geometry profile.</t>
  </si>
  <si>
    <t>Superstructure Data</t>
  </si>
  <si>
    <t>The Superstructure refers to the upper part of the bridge that directly carries traffic loads.</t>
  </si>
  <si>
    <t>The superstructure includes Girders, slab, deck (traffic surface), barriers, lighting, and all components above the piers.</t>
  </si>
  <si>
    <t>Superstructure</t>
  </si>
  <si>
    <t>Substructure</t>
  </si>
  <si>
    <r>
      <t xml:space="preserve">This sheet was developed by Eng. </t>
    </r>
    <r>
      <rPr>
        <b/>
        <sz val="11"/>
        <color theme="9"/>
        <rFont val="Consolas"/>
        <family val="3"/>
      </rPr>
      <t>Muhammad Bayoumi Ali</t>
    </r>
  </si>
  <si>
    <t/>
  </si>
  <si>
    <t>PVC (Start)
[STATION]</t>
  </si>
  <si>
    <t>PVC (Start)
[ELEVATION]</t>
  </si>
  <si>
    <t>PVT (End)
[STATION]</t>
  </si>
  <si>
    <t>PVT (End)
[ELEVATION]</t>
  </si>
  <si>
    <t>Bearing Pier</t>
  </si>
  <si>
    <t>Fixed Pier</t>
  </si>
  <si>
    <t>Abutment</t>
  </si>
  <si>
    <t>How to Extract and Enter Superstructure Data</t>
  </si>
  <si>
    <t>Go to the Deck Geometry page in the project documents.</t>
  </si>
  <si>
    <t>Enter the required parameters as follows</t>
  </si>
  <si>
    <t>-</t>
  </si>
  <si>
    <r>
      <rPr>
        <b/>
        <sz val="11"/>
        <rFont val="Consolas"/>
        <family val="3"/>
      </rPr>
      <t>Section</t>
    </r>
    <r>
      <rPr>
        <sz val="11"/>
        <rFont val="Consolas"/>
        <family val="3"/>
      </rPr>
      <t>: Identify the specific section of the structure.</t>
    </r>
  </si>
  <si>
    <r>
      <rPr>
        <b/>
        <sz val="11"/>
        <rFont val="Consolas"/>
        <family val="3"/>
      </rPr>
      <t>Alignment-Structure Axis Offset</t>
    </r>
    <r>
      <rPr>
        <sz val="11"/>
        <rFont val="Consolas"/>
        <family val="3"/>
      </rPr>
      <t>: Specify the horizontal offset between the alignment axis and the structure axis.</t>
    </r>
  </si>
  <si>
    <r>
      <rPr>
        <b/>
        <sz val="11"/>
        <rFont val="Consolas"/>
        <family val="3"/>
      </rPr>
      <t>Superelevation (e%)</t>
    </r>
    <r>
      <rPr>
        <sz val="11"/>
        <rFont val="Consolas"/>
        <family val="3"/>
      </rPr>
      <t>: Enter the cross slope percentage of the road.</t>
    </r>
  </si>
  <si>
    <r>
      <rPr>
        <b/>
        <sz val="11"/>
        <rFont val="Consolas"/>
        <family val="3"/>
      </rPr>
      <t>Asphalt Thickness</t>
    </r>
    <r>
      <rPr>
        <sz val="11"/>
        <rFont val="Consolas"/>
        <family val="3"/>
      </rPr>
      <t>: Provide the thickness of the asphalt layer.</t>
    </r>
  </si>
  <si>
    <r>
      <rPr>
        <b/>
        <sz val="11"/>
        <rFont val="Consolas"/>
        <family val="3"/>
      </rPr>
      <t>Superstructure Depth</t>
    </r>
    <r>
      <rPr>
        <sz val="11"/>
        <rFont val="Consolas"/>
        <family val="3"/>
      </rPr>
      <t>: Enter the total depth of the deck.</t>
    </r>
  </si>
  <si>
    <r>
      <rPr>
        <b/>
        <sz val="11"/>
        <rFont val="Consolas"/>
        <family val="3"/>
      </rPr>
      <t>Bearing Height</t>
    </r>
    <r>
      <rPr>
        <sz val="11"/>
        <rFont val="Consolas"/>
        <family val="3"/>
      </rPr>
      <t>: Specify the design bearing height at the support.</t>
    </r>
  </si>
  <si>
    <t xml:space="preserve">Note: </t>
  </si>
  <si>
    <t>A new section must be added whenever any of the following parameters change:
 Alignment–Structure Axis Offset, Superelevation (e%), Asphalt Thickness, Superstructure Depth, Bearing Height, or Points.</t>
  </si>
  <si>
    <t>Super elevation (e%)</t>
  </si>
  <si>
    <r>
      <rPr>
        <b/>
        <sz val="11"/>
        <rFont val="Consolas"/>
        <family val="3"/>
      </rPr>
      <t>Axes:</t>
    </r>
    <r>
      <rPr>
        <sz val="11"/>
        <rFont val="Consolas"/>
        <family val="3"/>
      </rPr>
      <t xml:space="preserve"> Specify the name of the substructure axes.</t>
    </r>
  </si>
  <si>
    <r>
      <rPr>
        <b/>
        <sz val="11"/>
        <rFont val="Consolas"/>
        <family val="3"/>
      </rPr>
      <t>Axes Type:</t>
    </r>
    <r>
      <rPr>
        <sz val="11"/>
        <rFont val="Consolas"/>
        <family val="3"/>
      </rPr>
      <t xml:space="preserve"> Specify whether the axis is a Bearing Axis or Fixed Axis.</t>
    </r>
  </si>
  <si>
    <r>
      <rPr>
        <b/>
        <sz val="11"/>
        <rFont val="Consolas"/>
        <family val="3"/>
      </rPr>
      <t>Station:</t>
    </r>
    <r>
      <rPr>
        <sz val="11"/>
        <rFont val="Consolas"/>
        <family val="3"/>
      </rPr>
      <t xml:space="preserve"> Specify the station where the superstructure axis intersects the perpendicular substructure axis.</t>
    </r>
  </si>
  <si>
    <r>
      <rPr>
        <b/>
        <sz val="11"/>
        <rFont val="Consolas"/>
        <family val="3"/>
      </rPr>
      <t>Foundation Level:</t>
    </r>
    <r>
      <rPr>
        <sz val="11"/>
        <rFont val="Consolas"/>
        <family val="3"/>
      </rPr>
      <t xml:space="preserve"> Specify the base level of the foundation.</t>
    </r>
  </si>
  <si>
    <r>
      <rPr>
        <b/>
        <sz val="11"/>
        <rFont val="Consolas"/>
        <family val="3"/>
      </rPr>
      <t>Foundation Depth:</t>
    </r>
    <r>
      <rPr>
        <sz val="11"/>
        <rFont val="Consolas"/>
        <family val="3"/>
      </rPr>
      <t xml:space="preserve"> Specify the depth of the foundation from the base level.</t>
    </r>
  </si>
  <si>
    <r>
      <rPr>
        <b/>
        <sz val="11"/>
        <rFont val="Consolas"/>
        <family val="3"/>
      </rPr>
      <t>Pier Height:</t>
    </r>
    <r>
      <rPr>
        <sz val="11"/>
        <rFont val="Consolas"/>
        <family val="3"/>
      </rPr>
      <t xml:space="preserve"> Specify the height of the pier excluding the bearing height (if applicable).</t>
    </r>
  </si>
  <si>
    <r>
      <rPr>
        <b/>
        <sz val="11"/>
        <rFont val="Consolas"/>
        <family val="3"/>
      </rPr>
      <t>Section:</t>
    </r>
    <r>
      <rPr>
        <sz val="11"/>
        <rFont val="Consolas"/>
        <family val="3"/>
      </rPr>
      <t xml:space="preserve"> Assign a section name from the drop-down list.</t>
    </r>
  </si>
  <si>
    <t>Substructure Data</t>
  </si>
  <si>
    <t>How to Extract and Enter Substructure Data</t>
  </si>
  <si>
    <t>Go to the Piers and Abutment Geometry page in the project documents.</t>
  </si>
  <si>
    <t>A new Axis must be added whenever any of the following parameters change:
 Axes Type, Station, Foundation Level, Foundation Depth, Pier Height, and Section</t>
  </si>
  <si>
    <t>verifying structural levels against alignment reference elevations.</t>
  </si>
  <si>
    <t xml:space="preserve">Value Difference Check:  </t>
  </si>
  <si>
    <t xml:space="preserve">Conditional Formating:  </t>
  </si>
  <si>
    <t>Adjusting the max and min values in the Value Difference Check section will automatically update the Conditional Formatting applied to the Height Difference (m) raw.
This allows users to easily identify any out-of-range values and quickly locate where discrepancies occur.</t>
  </si>
  <si>
    <r>
      <t xml:space="preserve">Adjusting the </t>
    </r>
    <r>
      <rPr>
        <b/>
        <sz val="11"/>
        <rFont val="Consolas"/>
        <family val="3"/>
      </rPr>
      <t xml:space="preserve">max </t>
    </r>
    <r>
      <rPr>
        <sz val="11"/>
        <rFont val="Consolas"/>
        <family val="3"/>
      </rPr>
      <t>and</t>
    </r>
    <r>
      <rPr>
        <b/>
        <sz val="11"/>
        <rFont val="Consolas"/>
        <family val="3"/>
      </rPr>
      <t xml:space="preserve"> min</t>
    </r>
    <r>
      <rPr>
        <sz val="11"/>
        <rFont val="Consolas"/>
        <family val="3"/>
      </rPr>
      <t xml:space="preserve"> values in the </t>
    </r>
    <r>
      <rPr>
        <i/>
        <sz val="11"/>
        <rFont val="Consolas"/>
        <family val="3"/>
      </rPr>
      <t>Value Difference Check section</t>
    </r>
    <r>
      <rPr>
        <sz val="11"/>
        <rFont val="Consolas"/>
        <family val="3"/>
      </rPr>
      <t xml:space="preserve"> will automatically update the </t>
    </r>
    <r>
      <rPr>
        <b/>
        <sz val="11"/>
        <rFont val="Consolas"/>
        <family val="3"/>
      </rPr>
      <t>Conditional Formatting</t>
    </r>
    <r>
      <rPr>
        <sz val="11"/>
        <rFont val="Consolas"/>
        <family val="3"/>
      </rPr>
      <t xml:space="preserve"> applied to the Height Difference (m) raw.
This allows users to easily identify any out-of-range values and quickly locate where discrepancies occur.</t>
    </r>
  </si>
  <si>
    <t>Axis Center
X Coordinate</t>
  </si>
  <si>
    <t>Axis Center
Y Coordinate</t>
  </si>
  <si>
    <t>θ</t>
  </si>
  <si>
    <t>North-South</t>
  </si>
  <si>
    <t>Axis</t>
  </si>
  <si>
    <t>Axis Type</t>
  </si>
  <si>
    <t>Geometric Coordinates</t>
  </si>
  <si>
    <t>N</t>
  </si>
  <si>
    <t>S</t>
  </si>
  <si>
    <r>
      <t>AXE</t>
    </r>
    <r>
      <rPr>
        <b/>
        <sz val="26"/>
        <color rgb="FF151B25"/>
        <rFont val="Consolas"/>
        <family val="3"/>
      </rPr>
      <t>s</t>
    </r>
    <r>
      <rPr>
        <b/>
        <sz val="48"/>
        <color rgb="FF151B25"/>
        <rFont val="Consolas"/>
        <family val="3"/>
      </rPr>
      <t xml:space="preserve"> DATA</t>
    </r>
  </si>
  <si>
    <t>Level Verification Calculations</t>
  </si>
  <si>
    <t>Point Elevation [Z]</t>
  </si>
  <si>
    <t>Easting [X]</t>
  </si>
  <si>
    <t>Northing [Y]</t>
  </si>
  <si>
    <t>GEOMETRY LONGITUDINAL PROFILE</t>
  </si>
  <si>
    <r>
      <t>SECTION</t>
    </r>
    <r>
      <rPr>
        <b/>
        <sz val="26"/>
        <color rgb="FF151B25"/>
        <rFont val="Consolas"/>
        <family val="3"/>
      </rPr>
      <t>s</t>
    </r>
    <r>
      <rPr>
        <b/>
        <sz val="48"/>
        <color rgb="FF151B25"/>
        <rFont val="Consolas"/>
        <family val="3"/>
      </rPr>
      <t xml:space="preserve"> PARAMETER</t>
    </r>
    <r>
      <rPr>
        <b/>
        <sz val="26"/>
        <color rgb="FF151B25"/>
        <rFont val="Consolas"/>
        <family val="3"/>
      </rPr>
      <t>s</t>
    </r>
  </si>
  <si>
    <r>
      <t>SECTION</t>
    </r>
    <r>
      <rPr>
        <b/>
        <sz val="24"/>
        <color rgb="FF151B25"/>
        <rFont val="Consolas"/>
        <family val="3"/>
      </rPr>
      <t>s</t>
    </r>
    <r>
      <rPr>
        <b/>
        <sz val="36"/>
        <color rgb="FF151B25"/>
        <rFont val="Consolas"/>
        <family val="3"/>
      </rPr>
      <t xml:space="preserve"> PROPERTIE</t>
    </r>
    <r>
      <rPr>
        <b/>
        <sz val="24"/>
        <color rgb="FF151B25"/>
        <rFont val="Consolas"/>
        <family val="3"/>
      </rPr>
      <t>s</t>
    </r>
  </si>
  <si>
    <t>Project</t>
  </si>
  <si>
    <r>
      <t xml:space="preserve">The </t>
    </r>
    <r>
      <rPr>
        <b/>
        <sz val="9"/>
        <rFont val="Consolas"/>
        <family val="3"/>
      </rPr>
      <t>Index</t>
    </r>
    <r>
      <rPr>
        <sz val="9"/>
        <rFont val="Consolas"/>
        <family val="3"/>
      </rPr>
      <t xml:space="preserve"> column controls the row order. Blank cells mean the row won’t show in the Level Verification table.
To rearrange rows, just change the Index numbers. If the cell is empty, the row won’t appear.</t>
    </r>
  </si>
  <si>
    <r>
      <t xml:space="preserve">The </t>
    </r>
    <r>
      <rPr>
        <b/>
        <sz val="9"/>
        <rFont val="Consolas"/>
        <family val="3"/>
      </rPr>
      <t>Remark</t>
    </r>
    <r>
      <rPr>
        <sz val="9"/>
        <rFont val="Consolas"/>
        <family val="3"/>
      </rPr>
      <t xml:space="preserve"> column is linked to the Level Verification table — any changes here will appear there.
If you edit a Remark, it will be updated in the Level Verification table as well.</t>
    </r>
  </si>
  <si>
    <t>•</t>
  </si>
  <si>
    <r>
      <t>COORDINATE</t>
    </r>
    <r>
      <rPr>
        <b/>
        <sz val="24"/>
        <color rgb="FF151B25"/>
        <rFont val="Consolas"/>
        <family val="3"/>
      </rPr>
      <t>s</t>
    </r>
    <r>
      <rPr>
        <b/>
        <sz val="36"/>
        <color rgb="FF151B25"/>
        <rFont val="Consolas"/>
        <family val="3"/>
      </rPr>
      <t xml:space="preserve"> DATA</t>
    </r>
  </si>
  <si>
    <t>Coordinate axis</t>
  </si>
  <si>
    <t>Coordinate</t>
  </si>
  <si>
    <t>S1</t>
  </si>
  <si>
    <t>S2</t>
  </si>
  <si>
    <t>S3</t>
  </si>
  <si>
    <t>S4</t>
  </si>
  <si>
    <t>E1</t>
  </si>
  <si>
    <t>E2</t>
  </si>
  <si>
    <t>https://github.com/muhammadbayoumi</t>
  </si>
  <si>
    <t>GitHub</t>
  </si>
  <si>
    <t>Phone</t>
  </si>
  <si>
    <t>+20 1095395360 | +966 503359422</t>
  </si>
  <si>
    <t>Vertical Curve Segment: Enter the key points of the curve with their station and elevation</t>
  </si>
  <si>
    <t>and computes the Pier elevations to verify them against the approved levels in the design drawings.</t>
  </si>
  <si>
    <r>
      <t xml:space="preserve">1. Inputting </t>
    </r>
    <r>
      <rPr>
        <b/>
        <sz val="11"/>
        <color theme="9"/>
        <rFont val="Consolas"/>
        <family val="3"/>
      </rPr>
      <t>Geometry Longitudinal Profile Data</t>
    </r>
    <r>
      <rPr>
        <sz val="11"/>
        <color theme="0" tint="-4.9989318521683403E-2"/>
        <rFont val="Consolas"/>
        <family val="3"/>
      </rPr>
      <t>.</t>
    </r>
  </si>
  <si>
    <t xml:space="preserve">The sheet automatically calculates the differences between Alignment Elevation and Structure Elevation at each axis, </t>
  </si>
  <si>
    <r>
      <t>At this step, you can view the results in the "</t>
    </r>
    <r>
      <rPr>
        <b/>
        <sz val="11"/>
        <color theme="9"/>
        <rFont val="Consolas"/>
        <family val="3"/>
      </rPr>
      <t>Level Verification</t>
    </r>
    <r>
      <rPr>
        <sz val="11"/>
        <color theme="0" tint="-4.9989318521683403E-2"/>
        <rFont val="Consolas"/>
        <family val="3"/>
      </rPr>
      <t>" sheet, where all outputs are calculated and ready for review.</t>
    </r>
  </si>
  <si>
    <t>5. Review Outputs.</t>
  </si>
  <si>
    <t>The Project Name field sets the project displayed in the Level Verification table. 
Leaving it blank means no project will be shown.</t>
  </si>
  <si>
    <r>
      <t>User can modify project name, table sorting, and add/remove rows in the "Level Verification" sheet through the "</t>
    </r>
    <r>
      <rPr>
        <b/>
        <sz val="11"/>
        <color theme="9"/>
        <rFont val="Consolas"/>
        <family val="3"/>
      </rPr>
      <t>Customize Outputs</t>
    </r>
    <r>
      <rPr>
        <sz val="11"/>
        <color theme="0" tint="-4.9989318521683403E-2"/>
        <rFont val="Consolas"/>
        <family val="3"/>
      </rPr>
      <t>" sheet.</t>
    </r>
  </si>
  <si>
    <t>https://www.linkedin.com/in/muhammad-bayoumi-ali</t>
  </si>
  <si>
    <t>4. Run Automatic Calculations</t>
  </si>
  <si>
    <t>Run the automatic calculations by going to the Data tab in the ribbon, then in the Queries &amp; Connections section, click Refresh All (or press Ctrl + Alt + F5).</t>
  </si>
  <si>
    <r>
      <t>Data tab → Queries &amp; Connections section → Refresh All</t>
    </r>
    <r>
      <rPr>
        <b/>
        <sz val="11"/>
        <color theme="9"/>
        <rFont val="Consolas"/>
        <family val="3"/>
      </rPr>
      <t xml:space="preserve"> (Ctrl + Alt + F5)</t>
    </r>
  </si>
  <si>
    <t>The workflow for verifying structural levels against alignment reference elevations:</t>
  </si>
  <si>
    <t>The workflow for obtaining Easting [X], Northing [Y], and Point Elevation [Z] for the deck section:</t>
  </si>
  <si>
    <t>Structural Levels Verification</t>
  </si>
  <si>
    <t>verifying structural levels against alignment reference elevations</t>
  </si>
  <si>
    <t>Easting, Northing &amp; Elevation</t>
  </si>
  <si>
    <t>Compute Deck Section Easting [X], Northing [Y], and Elevation [Z] by Axis</t>
  </si>
  <si>
    <t>The sheet automatically calculates Deck Section Easting [X], Northing [Y], and Elevation [Z] by Axis.</t>
  </si>
  <si>
    <r>
      <t>At this step, you can view the results in the "</t>
    </r>
    <r>
      <rPr>
        <b/>
        <sz val="11"/>
        <color theme="9"/>
        <rFont val="Consolas"/>
        <family val="3"/>
      </rPr>
      <t>Points</t>
    </r>
    <r>
      <rPr>
        <sz val="11"/>
        <color theme="0" tint="-4.9989318521683403E-2"/>
        <rFont val="Consolas"/>
        <family val="3"/>
      </rPr>
      <t>" sheet, where all outputs are calculated and ready for review.</t>
    </r>
  </si>
  <si>
    <r>
      <rPr>
        <b/>
        <sz val="11"/>
        <color theme="0" tint="-4.9989318521683403E-2"/>
        <rFont val="Consolas"/>
        <family val="3"/>
      </rPr>
      <t>Axis:</t>
    </r>
    <r>
      <rPr>
        <sz val="11"/>
        <color theme="0" tint="-4.9989318521683403E-2"/>
        <rFont val="Consolas"/>
        <family val="3"/>
      </rPr>
      <t xml:space="preserve"> Specify the name of the substructure axes.</t>
    </r>
  </si>
  <si>
    <r>
      <rPr>
        <b/>
        <sz val="11"/>
        <color theme="0" tint="-4.9989318521683403E-2"/>
        <rFont val="Consolas"/>
        <family val="3"/>
      </rPr>
      <t>Axis Type:</t>
    </r>
    <r>
      <rPr>
        <sz val="11"/>
        <color theme="0" tint="-4.9989318521683403E-2"/>
        <rFont val="Consolas"/>
        <family val="3"/>
      </rPr>
      <t xml:space="preserve"> Specify whether the axis is a Bearing Axis or Fixed Axis.</t>
    </r>
  </si>
  <si>
    <r>
      <rPr>
        <b/>
        <sz val="11"/>
        <color theme="0" tint="-4.9989318521683403E-2"/>
        <rFont val="Consolas"/>
        <family val="3"/>
      </rPr>
      <t xml:space="preserve">Station: </t>
    </r>
    <r>
      <rPr>
        <sz val="11"/>
        <color theme="0" tint="-4.9989318521683403E-2"/>
        <rFont val="Consolas"/>
        <family val="3"/>
      </rPr>
      <t>Station values are retrieved from the Substructure Data sheet.</t>
    </r>
  </si>
  <si>
    <r>
      <rPr>
        <b/>
        <sz val="11"/>
        <color theme="0" tint="-4.9989318521683403E-2"/>
        <rFont val="Consolas"/>
        <family val="3"/>
      </rPr>
      <t>Axis:</t>
    </r>
    <r>
      <rPr>
        <sz val="11"/>
        <color theme="0" tint="-4.9989318521683403E-2"/>
        <rFont val="Consolas"/>
        <family val="3"/>
      </rPr>
      <t xml:space="preserve"> Assign a Axis name from the drop-down list.</t>
    </r>
  </si>
  <si>
    <r>
      <rPr>
        <b/>
        <sz val="11"/>
        <color theme="0" tint="-4.9989318521683403E-2"/>
        <rFont val="Consolas"/>
        <family val="3"/>
      </rPr>
      <t>θ - The rotation from the Easting direction (X-axis) to the axis:</t>
    </r>
    <r>
      <rPr>
        <sz val="11"/>
        <color theme="0" tint="-4.9989318521683403E-2"/>
        <rFont val="Consolas"/>
        <family val="3"/>
      </rPr>
      <t xml:space="preserve"> Angle between the axis and a line parallel to the X-axis (Easting).</t>
    </r>
  </si>
  <si>
    <t>The rotation from the Easting direction (X-axis) to the axis</t>
  </si>
  <si>
    <t>Assign a Axis name from the drop-down list.</t>
  </si>
  <si>
    <t>Station values are retrieved from the Substructure Data sheet.</t>
  </si>
  <si>
    <t>X Coordinate of the intersection of the horizontal and longitudinal axes.</t>
  </si>
  <si>
    <t>Y Coordinate of the intersection of the horizontal and longitudinal axes.</t>
  </si>
  <si>
    <r>
      <rPr>
        <b/>
        <sz val="11"/>
        <color theme="0" tint="-4.9989318521683403E-2"/>
        <rFont val="Consolas"/>
        <family val="3"/>
      </rPr>
      <t>Axis Center X Coordinate:</t>
    </r>
    <r>
      <rPr>
        <sz val="11"/>
        <color theme="0" tint="-4.9989318521683403E-2"/>
        <rFont val="Consolas"/>
        <family val="3"/>
      </rPr>
      <t xml:space="preserve"> X Coordinate of the intersection of the horizontal and longitudinal axes.</t>
    </r>
  </si>
  <si>
    <r>
      <rPr>
        <b/>
        <sz val="11"/>
        <color theme="0" tint="-4.9989318521683403E-2"/>
        <rFont val="Consolas"/>
        <family val="3"/>
      </rPr>
      <t>Axis Center Y Coordinate:</t>
    </r>
    <r>
      <rPr>
        <sz val="11"/>
        <color theme="0" tint="-4.9989318521683403E-2"/>
        <rFont val="Consolas"/>
        <family val="3"/>
      </rPr>
      <t xml:space="preserve"> Y Coordinate of the intersection of the horizontal and longitudinal axes.</t>
    </r>
  </si>
  <si>
    <r>
      <rPr>
        <b/>
        <sz val="11"/>
        <color theme="0" tint="-4.9989318521683403E-2"/>
        <rFont val="Consolas"/>
        <family val="3"/>
      </rPr>
      <t>Point:</t>
    </r>
    <r>
      <rPr>
        <sz val="11"/>
        <color theme="0" tint="-4.9989318521683403E-2"/>
        <rFont val="Consolas"/>
        <family val="3"/>
      </rPr>
      <t xml:space="preserve"> Enter a unique name for the point in this section. </t>
    </r>
    <r>
      <rPr>
        <i/>
        <sz val="11"/>
        <color theme="0" tint="-4.9989318521683403E-2"/>
        <rFont val="Consolas"/>
        <family val="3"/>
      </rPr>
      <t>You can reuse the same point name for different sections.</t>
    </r>
  </si>
  <si>
    <t>ΔX</t>
  </si>
  <si>
    <t>ΔY</t>
  </si>
  <si>
    <r>
      <rPr>
        <b/>
        <sz val="11"/>
        <color theme="0" tint="-4.9989318521683403E-2"/>
        <rFont val="Consolas"/>
        <family val="3"/>
      </rPr>
      <t>Coordinates (ΔX, ΔY):</t>
    </r>
    <r>
      <rPr>
        <sz val="11"/>
        <color theme="0" tint="-4.9989318521683403E-2"/>
        <rFont val="Consolas"/>
        <family val="3"/>
      </rPr>
      <t xml:space="preserve"> ΔX and ΔY indicate the distances along the X and Y axes from the origin, where the origin point (0,0) is at the </t>
    </r>
    <r>
      <rPr>
        <sz val="11"/>
        <color theme="9"/>
        <rFont val="Consolas"/>
        <family val="3"/>
      </rPr>
      <t>top center</t>
    </r>
    <r>
      <rPr>
        <sz val="11"/>
        <color theme="0" tint="-4.9989318521683403E-2"/>
        <rFont val="Consolas"/>
        <family val="3"/>
      </rPr>
      <t xml:space="preserve"> of the section.</t>
    </r>
  </si>
  <si>
    <r>
      <rPr>
        <b/>
        <sz val="11"/>
        <color theme="0" tint="-4.9989318521683403E-2"/>
        <rFont val="Consolas"/>
        <family val="3"/>
      </rPr>
      <t>ΔX:</t>
    </r>
    <r>
      <rPr>
        <sz val="11"/>
        <color theme="0" tint="-4.9989318521683403E-2"/>
        <rFont val="Consolas"/>
        <family val="3"/>
      </rPr>
      <t xml:space="preserve"> The distance along the X-axis (Easting) from the origin to the poin</t>
    </r>
  </si>
  <si>
    <r>
      <rPr>
        <b/>
        <sz val="11"/>
        <color theme="0" tint="-4.9989318521683403E-2"/>
        <rFont val="Consolas"/>
        <family val="3"/>
      </rPr>
      <t>ΔY:</t>
    </r>
    <r>
      <rPr>
        <sz val="11"/>
        <color theme="0" tint="-4.9989318521683403E-2"/>
        <rFont val="Consolas"/>
        <family val="3"/>
      </rPr>
      <t xml:space="preserve"> The distance along the Y-axis (Northing) from the origin to the point</t>
    </r>
  </si>
  <si>
    <r>
      <rPr>
        <b/>
        <sz val="11"/>
        <color theme="0" tint="-4.9989318521683403E-2"/>
        <rFont val="Consolas"/>
        <family val="3"/>
      </rPr>
      <t>South [S]:</t>
    </r>
    <r>
      <rPr>
        <sz val="11"/>
        <color theme="0" tint="-4.9989318521683403E-2"/>
        <rFont val="Consolas"/>
        <family val="3"/>
      </rPr>
      <t xml:space="preserve"> The point is in the negative Y direction (below the horizontal line through the center of the substructure axis) in Global Coordinates.</t>
    </r>
  </si>
  <si>
    <r>
      <rPr>
        <b/>
        <sz val="11"/>
        <color theme="0" tint="-4.9989318521683403E-2"/>
        <rFont val="Consolas"/>
        <family val="3"/>
      </rPr>
      <t>North [N]:</t>
    </r>
    <r>
      <rPr>
        <sz val="11"/>
        <color theme="0" tint="-4.9989318521683403E-2"/>
        <rFont val="Consolas"/>
        <family val="3"/>
      </rPr>
      <t xml:space="preserve"> The point is in the positive Y direction (below the horizontal line through the center of the substructure axis) in Global Coordinates.</t>
    </r>
  </si>
  <si>
    <r>
      <rPr>
        <b/>
        <sz val="11"/>
        <color theme="0" tint="-4.9989318521683403E-2"/>
        <rFont val="Consolas"/>
        <family val="3"/>
      </rPr>
      <t>North-South:</t>
    </r>
    <r>
      <rPr>
        <sz val="11"/>
        <color theme="0" tint="-4.9989318521683403E-2"/>
        <rFont val="Consolas"/>
        <family val="3"/>
      </rPr>
      <t xml:space="preserve"> Select the position of the point relative to the center of the substructure axis in Global Coordinates.</t>
    </r>
  </si>
  <si>
    <t>Vertical Curve Segment (parabolic)</t>
  </si>
  <si>
    <t>Straight Segment (linear)</t>
  </si>
  <si>
    <t>y = ax^2+bx+c</t>
  </si>
  <si>
    <r>
      <t>+G</t>
    </r>
    <r>
      <rPr>
        <vertAlign val="subscript"/>
        <sz val="9"/>
        <color theme="0" tint="-4.9989318521683403E-2"/>
        <rFont val="Consolas"/>
        <family val="3"/>
      </rPr>
      <t>1</t>
    </r>
    <r>
      <rPr>
        <sz val="9"/>
        <color theme="0" tint="-4.9989318521683403E-2"/>
        <rFont val="Consolas"/>
        <family val="3"/>
      </rPr>
      <t>: Initial gradient or slope of the road before the curve (rising slope)</t>
    </r>
  </si>
  <si>
    <r>
      <t>-G</t>
    </r>
    <r>
      <rPr>
        <vertAlign val="subscript"/>
        <sz val="9"/>
        <color theme="0" tint="-4.9989318521683403E-2"/>
        <rFont val="Consolas"/>
        <family val="3"/>
      </rPr>
      <t>1</t>
    </r>
    <r>
      <rPr>
        <sz val="9"/>
        <color theme="0" tint="-4.9989318521683403E-2"/>
        <rFont val="Consolas"/>
        <family val="3"/>
      </rPr>
      <t>: Slope after the curve (falling slope)</t>
    </r>
  </si>
  <si>
    <r>
      <rPr>
        <sz val="9"/>
        <color theme="0" tint="-4.9989318521683403E-2"/>
        <rFont val="Consolas"/>
        <family val="3"/>
      </rPr>
      <t>+G</t>
    </r>
    <r>
      <rPr>
        <vertAlign val="subscript"/>
        <sz val="9"/>
        <color theme="0" tint="-4.9989318521683403E-2"/>
        <rFont val="Consolas"/>
        <family val="3"/>
      </rPr>
      <t>2</t>
    </r>
    <r>
      <rPr>
        <sz val="9"/>
        <color theme="0" tint="-4.9989318521683403E-2"/>
        <rFont val="Consolas"/>
        <family val="3"/>
      </rPr>
      <t>: Final gradient after the curve (rising slope)</t>
    </r>
  </si>
  <si>
    <r>
      <rPr>
        <sz val="9"/>
        <color theme="0" tint="-4.9989318521683403E-2"/>
        <rFont val="Consolas"/>
        <family val="3"/>
      </rPr>
      <t>-G</t>
    </r>
    <r>
      <rPr>
        <vertAlign val="subscript"/>
        <sz val="9"/>
        <color theme="0" tint="-4.9989318521683403E-2"/>
        <rFont val="Consolas"/>
        <family val="3"/>
      </rPr>
      <t>2</t>
    </r>
    <r>
      <rPr>
        <sz val="9"/>
        <color theme="0" tint="-4.9989318521683403E-2"/>
        <rFont val="Consolas"/>
        <family val="3"/>
      </rPr>
      <t>: Slope after the curve (falling slope)</t>
    </r>
  </si>
  <si>
    <r>
      <t>G</t>
    </r>
    <r>
      <rPr>
        <b/>
        <vertAlign val="subscript"/>
        <sz val="9"/>
        <color theme="0"/>
        <rFont val="Consolas"/>
        <family val="3"/>
      </rPr>
      <t>1</t>
    </r>
  </si>
  <si>
    <r>
      <t>G</t>
    </r>
    <r>
      <rPr>
        <b/>
        <vertAlign val="subscript"/>
        <sz val="9"/>
        <color theme="0"/>
        <rFont val="Consolas"/>
        <family val="3"/>
      </rPr>
      <t>2</t>
    </r>
  </si>
  <si>
    <r>
      <rPr>
        <sz val="9"/>
        <color theme="0"/>
        <rFont val="Consolas"/>
        <family val="3"/>
      </rPr>
      <t>Point of Vertical Intersection,</t>
    </r>
    <r>
      <rPr>
        <sz val="9"/>
        <color theme="0" tint="-4.9989318521683403E-2"/>
        <rFont val="Consolas"/>
        <family val="3"/>
      </rPr>
      <t xml:space="preserve"> The point where two different slopes intersect (the highest or lowest point of the curve).</t>
    </r>
  </si>
  <si>
    <r>
      <rPr>
        <sz val="9"/>
        <color theme="0"/>
        <rFont val="Consolas"/>
        <family val="3"/>
      </rPr>
      <t xml:space="preserve">Point of Vertical Tangent, </t>
    </r>
    <r>
      <rPr>
        <sz val="9"/>
        <color theme="0" tint="-4.9989318521683403E-2"/>
        <rFont val="Consolas"/>
        <family val="3"/>
      </rPr>
      <t>This is where the curve ends and the road becomes straight again.</t>
    </r>
    <r>
      <rPr>
        <i/>
        <sz val="9"/>
        <color theme="0" tint="-4.9989318521683403E-2"/>
        <rFont val="Consolas"/>
        <family val="3"/>
      </rPr>
      <t xml:space="preserve"> [EVCS End vertical curve station, EVCE End vertical curve elevation]</t>
    </r>
  </si>
  <si>
    <r>
      <t xml:space="preserve">Point of Vertical Curve, This is where the curve starts. </t>
    </r>
    <r>
      <rPr>
        <i/>
        <sz val="9"/>
        <color theme="0"/>
        <rFont val="Consolas"/>
        <family val="3"/>
      </rPr>
      <t>[BVCS Beginning vertical curves station, BVCE Beginning of transition curve]</t>
    </r>
  </si>
  <si>
    <t>#Vertical Curve Segment (parabolic)</t>
  </si>
  <si>
    <t>#Straight Segment (linear)</t>
  </si>
  <si>
    <t>START</t>
  </si>
  <si>
    <t>END</t>
  </si>
  <si>
    <t>This is where the straight segment starts.</t>
  </si>
  <si>
    <t>This is where the straight segment ends.</t>
  </si>
  <si>
    <t>Check Clearance</t>
  </si>
  <si>
    <t>Release 25 Nov.2025</t>
  </si>
  <si>
    <t>Formula Reference</t>
  </si>
  <si>
    <r>
      <rPr>
        <b/>
        <sz val="9"/>
        <rFont val="Consolas"/>
        <family val="3"/>
      </rPr>
      <t>c=</t>
    </r>
    <r>
      <rPr>
        <sz val="9"/>
        <rFont val="Consolas"/>
        <family val="3"/>
      </rPr>
      <t xml:space="preserve"> Elevation of the reference point (starting point of the segment).</t>
    </r>
  </si>
  <si>
    <r>
      <rPr>
        <b/>
        <sz val="9"/>
        <rFont val="Consolas"/>
        <family val="3"/>
      </rPr>
      <t>x=</t>
    </r>
    <r>
      <rPr>
        <sz val="9"/>
        <rFont val="Consolas"/>
        <family val="3"/>
      </rPr>
      <t xml:space="preserve"> Horizontal distance from the beginning of the curve (PVC) or from the reference point of the current segment.</t>
    </r>
  </si>
  <si>
    <r>
      <rPr>
        <b/>
        <sz val="9"/>
        <rFont val="Consolas"/>
        <family val="3"/>
      </rPr>
      <t>y=</t>
    </r>
    <r>
      <rPr>
        <sz val="9"/>
        <rFont val="Consolas"/>
        <family val="3"/>
      </rPr>
      <t xml:space="preserve"> Elevation of the roadway at a distance x from the beginning of the curve (or segment).</t>
    </r>
  </si>
  <si>
    <r>
      <rPr>
        <b/>
        <sz val="9"/>
        <rFont val="Consolas"/>
        <family val="3"/>
      </rPr>
      <t xml:space="preserve">a= </t>
    </r>
    <r>
      <rPr>
        <sz val="9"/>
        <rFont val="Consolas"/>
        <family val="3"/>
      </rPr>
      <t>Rate of change of grade per unit length, calculated as (G₂ − G₁) / (2 × L). It defines the curvature of the vertical curve.</t>
    </r>
  </si>
  <si>
    <r>
      <rPr>
        <b/>
        <sz val="9"/>
        <rFont val="Consolas"/>
        <family val="3"/>
      </rPr>
      <t>b=</t>
    </r>
    <r>
      <rPr>
        <sz val="9"/>
        <rFont val="Consolas"/>
        <family val="3"/>
      </rPr>
      <t xml:space="preserve"> Initial grade (G₁) expressed as a decimal.</t>
    </r>
  </si>
  <si>
    <t>a=(G₂ − G₁) / (2 × L)</t>
  </si>
  <si>
    <t>b=(G₁)</t>
  </si>
  <si>
    <t>L: Length of the vertical curve (distance between PVC and PVT).</t>
  </si>
  <si>
    <r>
      <t xml:space="preserve">Grades of tangents (%), </t>
    </r>
    <r>
      <rPr>
        <b/>
        <sz val="9"/>
        <color theme="9"/>
        <rFont val="Consolas"/>
        <family val="3"/>
      </rPr>
      <t>G</t>
    </r>
    <r>
      <rPr>
        <b/>
        <vertAlign val="subscript"/>
        <sz val="9"/>
        <color theme="9"/>
        <rFont val="Consolas"/>
        <family val="3"/>
      </rPr>
      <t>2</t>
    </r>
    <r>
      <rPr>
        <b/>
        <sz val="9"/>
        <color theme="9"/>
        <rFont val="Consolas"/>
        <family val="3"/>
      </rPr>
      <t xml:space="preserve"> = (PVT Elevation - PVI Elevation)/(PVT Station - PVI Station)</t>
    </r>
  </si>
  <si>
    <r>
      <t xml:space="preserve">Grades of tangents (%), </t>
    </r>
    <r>
      <rPr>
        <b/>
        <sz val="9"/>
        <color theme="9"/>
        <rFont val="Consolas"/>
        <family val="3"/>
      </rPr>
      <t>G</t>
    </r>
    <r>
      <rPr>
        <b/>
        <vertAlign val="subscript"/>
        <sz val="9"/>
        <color theme="9"/>
        <rFont val="Consolas"/>
        <family val="3"/>
      </rPr>
      <t xml:space="preserve">1 </t>
    </r>
    <r>
      <rPr>
        <b/>
        <sz val="9"/>
        <color theme="9"/>
        <rFont val="Consolas"/>
        <family val="3"/>
      </rPr>
      <t>= (PVI Elevation - PVC Elevation)/(PVI Station - PVC Station)</t>
    </r>
  </si>
  <si>
    <r>
      <t xml:space="preserve">Parabolic curve parameter — horizontal distance per 1% grade change., </t>
    </r>
    <r>
      <rPr>
        <b/>
        <sz val="9"/>
        <color theme="9"/>
        <rFont val="Consolas"/>
        <family val="3"/>
      </rPr>
      <t>K = L / A</t>
    </r>
  </si>
  <si>
    <r>
      <t xml:space="preserve">External distance (maximum vertical offset of the parabolic curve from the tangent)., </t>
    </r>
    <r>
      <rPr>
        <b/>
        <sz val="9"/>
        <color theme="0"/>
        <rFont val="Consolas"/>
        <family val="3"/>
      </rPr>
      <t xml:space="preserve"> </t>
    </r>
    <r>
      <rPr>
        <b/>
        <sz val="9"/>
        <color theme="9"/>
        <rFont val="Consolas"/>
        <family val="3"/>
      </rPr>
      <t>E = ( A * L ) / 8</t>
    </r>
  </si>
  <si>
    <r>
      <t xml:space="preserve">Length of the vertical curve (distance between PVC and PVT)., </t>
    </r>
    <r>
      <rPr>
        <b/>
        <sz val="9"/>
        <color theme="9"/>
        <rFont val="Consolas"/>
        <family val="3"/>
      </rPr>
      <t>L = PVT [STATION] - PVC [STATION]</t>
    </r>
  </si>
  <si>
    <t>The central repository of all mathematical formulas, parameters, and derivations.</t>
  </si>
  <si>
    <t>#Vertical Geometry Formulas</t>
  </si>
  <si>
    <r>
      <t xml:space="preserve">Initial gradient or slope., </t>
    </r>
    <r>
      <rPr>
        <b/>
        <sz val="9"/>
        <color theme="9"/>
        <rFont val="Consolas"/>
        <family val="3"/>
      </rPr>
      <t>G</t>
    </r>
    <r>
      <rPr>
        <b/>
        <vertAlign val="subscript"/>
        <sz val="9"/>
        <color theme="9"/>
        <rFont val="Consolas"/>
        <family val="3"/>
      </rPr>
      <t xml:space="preserve">1 </t>
    </r>
    <r>
      <rPr>
        <b/>
        <sz val="9"/>
        <color theme="9"/>
        <rFont val="Consolas"/>
        <family val="3"/>
      </rPr>
      <t>= (End Point Elevation - Start Point Elevation)/(End Point Station - Start Point Station)</t>
    </r>
  </si>
  <si>
    <r>
      <t xml:space="preserve">Algebraic difference between the initial and final grades., </t>
    </r>
    <r>
      <rPr>
        <b/>
        <sz val="9"/>
        <color theme="9"/>
        <rFont val="Consolas"/>
        <family val="3"/>
      </rPr>
      <t>A = | G</t>
    </r>
    <r>
      <rPr>
        <b/>
        <vertAlign val="subscript"/>
        <sz val="9"/>
        <color theme="9"/>
        <rFont val="Consolas"/>
        <family val="3"/>
      </rPr>
      <t>2</t>
    </r>
    <r>
      <rPr>
        <b/>
        <sz val="9"/>
        <color theme="9"/>
        <rFont val="Consolas"/>
        <family val="3"/>
      </rPr>
      <t xml:space="preserve"> - G</t>
    </r>
    <r>
      <rPr>
        <b/>
        <vertAlign val="subscript"/>
        <sz val="9"/>
        <color theme="9"/>
        <rFont val="Consolas"/>
        <family val="3"/>
      </rPr>
      <t>1</t>
    </r>
    <r>
      <rPr>
        <b/>
        <sz val="9"/>
        <color theme="9"/>
        <rFont val="Consolas"/>
        <family val="3"/>
      </rPr>
      <t xml:space="preserve"> |</t>
    </r>
  </si>
  <si>
    <r>
      <t>G</t>
    </r>
    <r>
      <rPr>
        <vertAlign val="subscript"/>
        <sz val="8"/>
        <color theme="0"/>
        <rFont val="Consolas"/>
        <family val="3"/>
      </rPr>
      <t>1</t>
    </r>
  </si>
  <si>
    <r>
      <t>G</t>
    </r>
    <r>
      <rPr>
        <vertAlign val="subscript"/>
        <sz val="8"/>
        <color theme="0"/>
        <rFont val="Consolas"/>
        <family val="3"/>
      </rPr>
      <t>2</t>
    </r>
  </si>
  <si>
    <t>Input</t>
  </si>
  <si>
    <t>Output</t>
  </si>
  <si>
    <t>Computes profile elevations for straight and curved segments using standard vertical geometry formulas.</t>
  </si>
  <si>
    <t>The workflow for Computes profile elevations:</t>
  </si>
  <si>
    <r>
      <t xml:space="preserve">2. Go to the </t>
    </r>
    <r>
      <rPr>
        <b/>
        <sz val="11"/>
        <color theme="9"/>
        <rFont val="Consolas"/>
        <family val="3"/>
      </rPr>
      <t>Elevation Lookup by Station</t>
    </r>
    <r>
      <rPr>
        <sz val="11"/>
        <color theme="0" tint="-4.9989318521683403E-2"/>
        <rFont val="Consolas"/>
        <family val="3"/>
      </rPr>
      <t xml:space="preserve"> sheet.</t>
    </r>
  </si>
  <si>
    <t>Input the station values for which you want to determine the elevation.</t>
  </si>
  <si>
    <t>Elevation</t>
  </si>
  <si>
    <t>Make sure the stations entered are within the range of data available in the Profile Segments.</t>
  </si>
  <si>
    <t>Keep all entered data intact, as it will feed into the following operations.</t>
  </si>
  <si>
    <r>
      <t xml:space="preserve">4. Inputting </t>
    </r>
    <r>
      <rPr>
        <b/>
        <sz val="11"/>
        <color theme="9"/>
        <rFont val="Consolas"/>
        <family val="3"/>
      </rPr>
      <t>Coordinate Data</t>
    </r>
    <r>
      <rPr>
        <b/>
        <sz val="11"/>
        <color theme="0"/>
        <rFont val="Consolas"/>
        <family val="3"/>
      </rPr>
      <t>.</t>
    </r>
  </si>
  <si>
    <r>
      <t xml:space="preserve">5. Inputting </t>
    </r>
    <r>
      <rPr>
        <b/>
        <sz val="11"/>
        <color theme="9"/>
        <rFont val="Consolas"/>
        <family val="3"/>
      </rPr>
      <t>Section Properties</t>
    </r>
    <r>
      <rPr>
        <sz val="11"/>
        <color theme="0" tint="-4.9989318521683403E-2"/>
        <rFont val="Consolas"/>
        <family val="3"/>
      </rPr>
      <t>.</t>
    </r>
  </si>
  <si>
    <t>6. Run Automatic Calculations</t>
  </si>
  <si>
    <t>7. Review Outputs.</t>
  </si>
  <si>
    <t>c: elevation of the reference point (usually the Point of Vertical Curvature – PVC, or the starting point of the straight segment).</t>
  </si>
  <si>
    <r>
      <rPr>
        <b/>
        <sz val="8"/>
        <color rgb="FF151B25"/>
        <rFont val="Consolas"/>
        <family val="3"/>
      </rPr>
      <t>y=</t>
    </r>
    <r>
      <rPr>
        <sz val="8"/>
        <color rgb="FF151B25"/>
        <rFont val="Consolas"/>
        <family val="3"/>
      </rPr>
      <t xml:space="preserve"> Elevation of the roadway at a distance x from the beginning of the curve (or segment).</t>
    </r>
  </si>
  <si>
    <r>
      <rPr>
        <b/>
        <sz val="8"/>
        <color rgb="FF151B25"/>
        <rFont val="Consolas"/>
        <family val="3"/>
      </rPr>
      <t>x=</t>
    </r>
    <r>
      <rPr>
        <sz val="8"/>
        <color rgb="FF151B25"/>
        <rFont val="Consolas"/>
        <family val="3"/>
      </rPr>
      <t xml:space="preserve"> Horizontal distance from the beginning of the curve (PVC) or from the reference point of the current segment.</t>
    </r>
  </si>
  <si>
    <r>
      <rPr>
        <b/>
        <sz val="8"/>
        <color rgb="FF151B25"/>
        <rFont val="Consolas"/>
        <family val="3"/>
      </rPr>
      <t>c=</t>
    </r>
    <r>
      <rPr>
        <sz val="8"/>
        <color rgb="FF151B25"/>
        <rFont val="Consolas"/>
        <family val="3"/>
      </rPr>
      <t xml:space="preserve"> Elevation of the reference point (starting point of the segment).</t>
    </r>
  </si>
  <si>
    <r>
      <rPr>
        <b/>
        <sz val="8"/>
        <color rgb="FF151B25"/>
        <rFont val="Consolas"/>
        <family val="3"/>
      </rPr>
      <t xml:space="preserve">a= </t>
    </r>
    <r>
      <rPr>
        <sz val="8"/>
        <color rgb="FF151B25"/>
        <rFont val="Consolas"/>
        <family val="3"/>
      </rPr>
      <t>Rate of change of grade per unit length, calculated as (G₂ − G₁) / (2 × L). It defines the curvature of the vertical curve.</t>
    </r>
  </si>
  <si>
    <r>
      <rPr>
        <b/>
        <sz val="8"/>
        <color rgb="FF151B25"/>
        <rFont val="Consolas"/>
        <family val="3"/>
      </rPr>
      <t>b=</t>
    </r>
    <r>
      <rPr>
        <sz val="8"/>
        <color rgb="FF151B25"/>
        <rFont val="Consolas"/>
        <family val="3"/>
      </rPr>
      <t xml:space="preserve"> Initial grade (G₁) expressed as a decimal.</t>
    </r>
  </si>
  <si>
    <r>
      <t>y = ax</t>
    </r>
    <r>
      <rPr>
        <b/>
        <vertAlign val="superscript"/>
        <sz val="9"/>
        <color theme="9"/>
        <rFont val="Consolas"/>
        <family val="3"/>
      </rPr>
      <t>2</t>
    </r>
    <r>
      <rPr>
        <b/>
        <sz val="9"/>
        <color theme="9"/>
        <rFont val="Consolas"/>
        <family val="3"/>
      </rPr>
      <t>+bx+c</t>
    </r>
  </si>
  <si>
    <t>Station Elevation Table</t>
  </si>
  <si>
    <t>Release 25 Oct.2025</t>
  </si>
  <si>
    <t>Release 25 Dec.2025</t>
  </si>
  <si>
    <t>P6</t>
  </si>
  <si>
    <t>S5</t>
  </si>
  <si>
    <t>S6</t>
  </si>
  <si>
    <t>S7</t>
  </si>
  <si>
    <t>Al Nafoud Road Interchange Overpass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</si>
</sst>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409]mmmm\ d\,\ yyyy;@"/>
    <numFmt numFmtId="167" formatCode="0.0000"/>
  </numFmts>
  <fonts count="90" x14ac:knownFonts="1">
    <font>
      <sz val="11"/>
      <color theme="1"/>
      <name val="Calibri"/>
      <family val="2"/>
      <scheme val="minor"/>
    </font>
    <font>
      <sz val="11"/>
      <color theme="1"/>
      <name val="Calibri"/>
      <family val="2"/>
      <scheme val="minor"/>
    </font>
    <font>
      <sz val="9"/>
      <color theme="1"/>
      <name val="Calibri"/>
      <family val="2"/>
    </font>
    <font>
      <sz val="9"/>
      <name val="Calibri"/>
      <family val="2"/>
    </font>
    <font>
      <sz val="8"/>
      <name val="Calibri"/>
      <family val="2"/>
      <scheme val="minor"/>
    </font>
    <font>
      <sz val="11"/>
      <color theme="1"/>
      <name val="Calibri"/>
      <family val="2"/>
      <charset val="178"/>
      <scheme val="minor"/>
    </font>
    <font>
      <sz val="9"/>
      <color theme="0"/>
      <name val="Calibri"/>
      <family val="2"/>
    </font>
    <font>
      <b/>
      <sz val="11"/>
      <color theme="0" tint="-4.9989318521683403E-2"/>
      <name val="Calibri"/>
      <family val="2"/>
    </font>
    <font>
      <i/>
      <sz val="11"/>
      <color rgb="FF7F7F7F"/>
      <name val="Calibri"/>
      <family val="2"/>
      <scheme val="minor"/>
    </font>
    <font>
      <b/>
      <sz val="11"/>
      <name val="Calibri"/>
      <family val="2"/>
    </font>
    <font>
      <sz val="11"/>
      <color theme="1"/>
      <name val="Calibri"/>
      <family val="2"/>
    </font>
    <font>
      <sz val="11"/>
      <color theme="0"/>
      <name val="Calibri"/>
      <family val="2"/>
      <scheme val="minor"/>
    </font>
    <font>
      <sz val="9"/>
      <color theme="0"/>
      <name val="Calibri"/>
      <family val="2"/>
      <scheme val="minor"/>
    </font>
    <font>
      <sz val="9"/>
      <color rgb="FF151B25"/>
      <name val="Calibri"/>
      <family val="2"/>
    </font>
    <font>
      <sz val="11"/>
      <color rgb="FF151B25"/>
      <name val="Calibri"/>
      <family val="2"/>
      <scheme val="minor"/>
    </font>
    <font>
      <b/>
      <sz val="48"/>
      <color rgb="FF151B25"/>
      <name val="Calibri"/>
      <family val="2"/>
      <scheme val="minor"/>
    </font>
    <font>
      <b/>
      <sz val="26"/>
      <name val="Consolas"/>
      <family val="3"/>
    </font>
    <font>
      <sz val="11"/>
      <name val="Consolas"/>
      <family val="3"/>
    </font>
    <font>
      <b/>
      <sz val="26"/>
      <color rgb="FF151B25"/>
      <name val="Consolas"/>
      <family val="3"/>
    </font>
    <font>
      <sz val="11"/>
      <color rgb="FF151B25"/>
      <name val="Consolas"/>
      <family val="3"/>
    </font>
    <font>
      <b/>
      <sz val="26"/>
      <color theme="0" tint="-4.9989318521683403E-2"/>
      <name val="Consolas"/>
      <family val="3"/>
    </font>
    <font>
      <sz val="11"/>
      <color theme="0" tint="-4.9989318521683403E-2"/>
      <name val="Consolas"/>
      <family val="3"/>
    </font>
    <font>
      <b/>
      <sz val="11"/>
      <color theme="0" tint="-4.9989318521683403E-2"/>
      <name val="Consolas"/>
      <family val="3"/>
    </font>
    <font>
      <b/>
      <sz val="36"/>
      <color theme="0" tint="-4.9989318521683403E-2"/>
      <name val="Consolas"/>
      <family val="3"/>
    </font>
    <font>
      <b/>
      <sz val="12"/>
      <color theme="0" tint="-4.9989318521683403E-2"/>
      <name val="Consolas"/>
      <family val="3"/>
    </font>
    <font>
      <sz val="9"/>
      <color rgb="FF151B25"/>
      <name val="Consolas"/>
      <family val="3"/>
    </font>
    <font>
      <b/>
      <sz val="9"/>
      <color rgb="FF151B25"/>
      <name val="Consolas"/>
      <family val="3"/>
    </font>
    <font>
      <b/>
      <sz val="11"/>
      <color theme="9"/>
      <name val="Consolas"/>
      <family val="3"/>
    </font>
    <font>
      <b/>
      <sz val="26"/>
      <color theme="9"/>
      <name val="Consolas"/>
      <family val="3"/>
    </font>
    <font>
      <u/>
      <sz val="11"/>
      <color theme="10"/>
      <name val="Calibri"/>
      <family val="2"/>
      <scheme val="minor"/>
    </font>
    <font>
      <b/>
      <sz val="11"/>
      <name val="Consolas"/>
      <family val="3"/>
    </font>
    <font>
      <b/>
      <u/>
      <sz val="11"/>
      <name val="Consolas"/>
      <family val="3"/>
    </font>
    <font>
      <sz val="8"/>
      <color theme="0"/>
      <name val="Calibri"/>
      <family val="2"/>
      <scheme val="minor"/>
    </font>
    <font>
      <sz val="8"/>
      <name val="Calibri"/>
      <family val="2"/>
    </font>
    <font>
      <b/>
      <sz val="11"/>
      <color theme="1"/>
      <name val="Calibri"/>
      <family val="2"/>
      <scheme val="minor"/>
    </font>
    <font>
      <i/>
      <sz val="11"/>
      <name val="Consolas"/>
      <family val="3"/>
    </font>
    <font>
      <b/>
      <i/>
      <sz val="11"/>
      <name val="Consolas"/>
      <family val="3"/>
    </font>
    <font>
      <b/>
      <sz val="8"/>
      <color theme="0"/>
      <name val="Calibri"/>
      <family val="2"/>
      <scheme val="minor"/>
    </font>
    <font>
      <b/>
      <sz val="12"/>
      <color rgb="FF151B25"/>
      <name val="Calibri"/>
      <family val="2"/>
      <scheme val="minor"/>
    </font>
    <font>
      <b/>
      <sz val="14"/>
      <color theme="0"/>
      <name val="Calibri"/>
      <family val="2"/>
      <scheme val="minor"/>
    </font>
    <font>
      <sz val="9"/>
      <color theme="0"/>
      <name val="Consolas"/>
      <family val="3"/>
    </font>
    <font>
      <b/>
      <sz val="48"/>
      <color rgb="FF151B25"/>
      <name val="Consolas"/>
      <family val="3"/>
    </font>
    <font>
      <b/>
      <sz val="36"/>
      <color rgb="FF151B25"/>
      <name val="Consolas"/>
      <family val="3"/>
    </font>
    <font>
      <sz val="9"/>
      <color theme="1"/>
      <name val="Consolas"/>
      <family val="3"/>
    </font>
    <font>
      <sz val="8"/>
      <color theme="1"/>
      <name val="Calibri"/>
      <family val="2"/>
      <scheme val="major"/>
    </font>
    <font>
      <b/>
      <sz val="9"/>
      <color theme="0"/>
      <name val="Consolas"/>
      <family val="3"/>
    </font>
    <font>
      <sz val="11"/>
      <color theme="1"/>
      <name val="Consolas"/>
      <family val="3"/>
    </font>
    <font>
      <sz val="8"/>
      <color theme="0"/>
      <name val="Consolas"/>
      <family val="3"/>
    </font>
    <font>
      <sz val="9"/>
      <name val="Consolas"/>
      <family val="3"/>
    </font>
    <font>
      <sz val="8"/>
      <name val="Consolas"/>
      <family val="3"/>
    </font>
    <font>
      <b/>
      <sz val="22"/>
      <color theme="1"/>
      <name val="Consolas"/>
      <family val="3"/>
    </font>
    <font>
      <sz val="9"/>
      <color theme="1"/>
      <name val="Calibri"/>
      <family val="2"/>
      <scheme val="major"/>
    </font>
    <font>
      <b/>
      <sz val="9"/>
      <color theme="1"/>
      <name val="Calibri"/>
      <family val="2"/>
      <scheme val="major"/>
    </font>
    <font>
      <b/>
      <sz val="24"/>
      <color rgb="FF151B25"/>
      <name val="Consolas"/>
      <family val="3"/>
    </font>
    <font>
      <sz val="10"/>
      <color rgb="FF151B25"/>
      <name val="Consolas"/>
      <family val="3"/>
    </font>
    <font>
      <b/>
      <sz val="9"/>
      <name val="Consolas"/>
      <family val="3"/>
    </font>
    <font>
      <b/>
      <sz val="16"/>
      <color rgb="FF151B25"/>
      <name val="Consolas"/>
      <family val="3"/>
    </font>
    <font>
      <sz val="11"/>
      <color theme="0" tint="-0.499984740745262"/>
      <name val="Consolas"/>
      <family val="3"/>
    </font>
    <font>
      <sz val="10"/>
      <color theme="0" tint="-0.499984740745262"/>
      <name val="Consolas"/>
      <family val="3"/>
    </font>
    <font>
      <sz val="11"/>
      <color rgb="FF006100"/>
      <name val="Calibri"/>
      <family val="2"/>
      <scheme val="minor"/>
    </font>
    <font>
      <sz val="11"/>
      <color theme="9"/>
      <name val="Consolas"/>
      <family val="3"/>
    </font>
    <font>
      <b/>
      <sz val="12"/>
      <color rgb="FF151B25"/>
      <name val="Consolas"/>
      <family val="3"/>
    </font>
    <font>
      <b/>
      <sz val="16"/>
      <color theme="0" tint="-4.9989318521683403E-2"/>
      <name val="Consolas"/>
      <family val="3"/>
    </font>
    <font>
      <sz val="9"/>
      <color theme="0" tint="-4.9989318521683403E-2"/>
      <name val="Consolas"/>
      <family val="3"/>
    </font>
    <font>
      <sz val="11"/>
      <color theme="0"/>
      <name val="Consolas"/>
      <family val="3"/>
    </font>
    <font>
      <b/>
      <sz val="11"/>
      <color theme="0"/>
      <name val="Consolas"/>
      <family val="3"/>
    </font>
    <font>
      <b/>
      <sz val="14"/>
      <color theme="0" tint="-4.9989318521683403E-2"/>
      <name val="Consolas"/>
      <family val="3"/>
    </font>
    <font>
      <i/>
      <sz val="9"/>
      <color theme="1"/>
      <name val="Calibri"/>
      <family val="2"/>
      <scheme val="minor"/>
    </font>
    <font>
      <i/>
      <sz val="11"/>
      <color theme="0" tint="-4.9989318521683403E-2"/>
      <name val="Consolas"/>
      <family val="3"/>
    </font>
    <font>
      <i/>
      <sz val="12"/>
      <color theme="0" tint="-4.9989318521683403E-2"/>
      <name val="Consolas"/>
      <family val="3"/>
    </font>
    <font>
      <b/>
      <sz val="9"/>
      <color theme="0" tint="-4.9989318521683403E-2"/>
      <name val="Consolas"/>
      <family val="3"/>
    </font>
    <font>
      <vertAlign val="subscript"/>
      <sz val="9"/>
      <color theme="0" tint="-4.9989318521683403E-2"/>
      <name val="Consolas"/>
      <family val="3"/>
    </font>
    <font>
      <b/>
      <sz val="9"/>
      <color theme="9"/>
      <name val="Consolas"/>
      <family val="3"/>
    </font>
    <font>
      <i/>
      <sz val="9"/>
      <color theme="0"/>
      <name val="Consolas"/>
      <family val="3"/>
    </font>
    <font>
      <i/>
      <sz val="9"/>
      <color theme="0" tint="-4.9989318521683403E-2"/>
      <name val="Consolas"/>
      <family val="3"/>
    </font>
    <font>
      <b/>
      <vertAlign val="subscript"/>
      <sz val="9"/>
      <color theme="0"/>
      <name val="Consolas"/>
      <family val="3"/>
    </font>
    <font>
      <i/>
      <sz val="11"/>
      <color rgb="FF151B25"/>
      <name val="Consolas"/>
      <family val="3"/>
    </font>
    <font>
      <b/>
      <vertAlign val="subscript"/>
      <sz val="9"/>
      <color theme="9"/>
      <name val="Consolas"/>
      <family val="3"/>
    </font>
    <font>
      <vertAlign val="subscript"/>
      <sz val="8"/>
      <color theme="0"/>
      <name val="Consolas"/>
      <family val="3"/>
    </font>
    <font>
      <sz val="10"/>
      <name val="Consolas"/>
      <family val="3"/>
    </font>
    <font>
      <i/>
      <sz val="11"/>
      <color theme="0" tint="-0.499984740745262"/>
      <name val="Consolas"/>
      <family val="3"/>
    </font>
    <font>
      <b/>
      <i/>
      <sz val="11"/>
      <color theme="0" tint="-4.9989318521683403E-2"/>
      <name val="Consolas"/>
      <family val="3"/>
    </font>
    <font>
      <sz val="8"/>
      <color rgb="FF151B25"/>
      <name val="Consolas"/>
      <family val="3"/>
    </font>
    <font>
      <b/>
      <sz val="8"/>
      <color rgb="FF151B25"/>
      <name val="Consolas"/>
      <family val="3"/>
    </font>
    <font>
      <b/>
      <sz val="12"/>
      <name val="Consolas"/>
      <family val="3"/>
    </font>
    <font>
      <b/>
      <sz val="10"/>
      <color theme="0"/>
      <name val="Consolas"/>
      <family val="3"/>
    </font>
    <font>
      <b/>
      <vertAlign val="superscript"/>
      <sz val="9"/>
      <color theme="9"/>
      <name val="Consolas"/>
      <family val="3"/>
    </font>
    <font>
      <b/>
      <sz val="36"/>
      <color theme="1"/>
      <name val="Consolas"/>
      <family val="3"/>
    </font>
    <font>
      <b/>
      <sz val="22"/>
      <color rgb="FF151B25"/>
      <name val="Consolas"/>
      <family val="3"/>
    </font>
    <font>
      <i/>
      <sz val="18"/>
      <color rgb="FF151B25"/>
      <name val="Consolas"/>
      <family val="3"/>
    </font>
  </fonts>
  <fills count="12">
    <fill>
      <patternFill patternType="none"/>
    </fill>
    <fill>
      <patternFill patternType="gray125"/>
    </fill>
    <fill>
      <patternFill patternType="solid">
        <fgColor rgb="FFFFFFCC"/>
      </patternFill>
    </fill>
    <fill>
      <patternFill patternType="solid">
        <fgColor theme="0"/>
        <bgColor indexed="64"/>
      </patternFill>
    </fill>
    <fill>
      <patternFill patternType="solid">
        <fgColor theme="0"/>
      </patternFill>
    </fill>
    <fill>
      <patternFill patternType="solid">
        <fgColor theme="0"/>
        <bgColor rgb="FF000000"/>
      </patternFill>
    </fill>
    <fill>
      <patternFill patternType="solid">
        <fgColor theme="0" tint="-4.9989318521683403E-2"/>
        <bgColor indexed="64"/>
      </patternFill>
    </fill>
    <fill>
      <patternFill patternType="solid">
        <fgColor theme="4"/>
      </patternFill>
    </fill>
    <fill>
      <patternFill patternType="solid">
        <fgColor rgb="FF151B25"/>
        <bgColor indexed="64"/>
      </patternFill>
    </fill>
    <fill>
      <patternFill patternType="solid">
        <fgColor theme="9"/>
        <bgColor indexed="64"/>
      </patternFill>
    </fill>
    <fill>
      <patternFill patternType="solid">
        <fgColor rgb="FFC6EFCE"/>
      </patternFill>
    </fill>
    <fill>
      <patternFill patternType="solid">
        <fgColor rgb="FFFFFFCC"/>
        <bgColor indexed="64"/>
      </patternFill>
    </fill>
  </fills>
  <borders count="7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bottom style="thin">
        <color rgb="FFB2B2B2"/>
      </bottom>
      <diagonal/>
    </border>
    <border>
      <left/>
      <right style="thin">
        <color rgb="FFB2B2B2"/>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151B25"/>
      </left>
      <right style="thin">
        <color rgb="FFB2B2B2"/>
      </right>
      <top style="thin">
        <color rgb="FF151B25"/>
      </top>
      <bottom style="thin">
        <color rgb="FF151B25"/>
      </bottom>
      <diagonal/>
    </border>
    <border>
      <left style="thin">
        <color rgb="FFB2B2B2"/>
      </left>
      <right style="thin">
        <color rgb="FFB2B2B2"/>
      </right>
      <top style="thin">
        <color rgb="FF151B25"/>
      </top>
      <bottom style="thin">
        <color rgb="FF151B25"/>
      </bottom>
      <diagonal/>
    </border>
    <border>
      <left style="thin">
        <color rgb="FFB2B2B2"/>
      </left>
      <right style="thin">
        <color rgb="FF151B25"/>
      </right>
      <top style="thin">
        <color rgb="FF151B25"/>
      </top>
      <bottom style="thin">
        <color rgb="FF151B25"/>
      </bottom>
      <diagonal/>
    </border>
    <border>
      <left style="thin">
        <color rgb="FF151B25"/>
      </left>
      <right/>
      <top style="thin">
        <color rgb="FF151B25"/>
      </top>
      <bottom style="thin">
        <color rgb="FF151B25"/>
      </bottom>
      <diagonal/>
    </border>
    <border>
      <left/>
      <right/>
      <top style="thin">
        <color rgb="FF151B25"/>
      </top>
      <bottom style="thin">
        <color rgb="FF151B25"/>
      </bottom>
      <diagonal/>
    </border>
    <border>
      <left/>
      <right style="thin">
        <color rgb="FF151B25"/>
      </right>
      <top style="thin">
        <color rgb="FF151B25"/>
      </top>
      <bottom style="thin">
        <color rgb="FF151B25"/>
      </bottom>
      <diagonal/>
    </border>
    <border>
      <left style="thin">
        <color rgb="FF151B25"/>
      </left>
      <right/>
      <top/>
      <bottom/>
      <diagonal/>
    </border>
    <border>
      <left style="medium">
        <color rgb="FF151B25"/>
      </left>
      <right/>
      <top style="medium">
        <color rgb="FF151B25"/>
      </top>
      <bottom/>
      <diagonal/>
    </border>
    <border>
      <left/>
      <right/>
      <top style="medium">
        <color rgb="FF151B25"/>
      </top>
      <bottom/>
      <diagonal/>
    </border>
    <border>
      <left/>
      <right style="medium">
        <color rgb="FF151B25"/>
      </right>
      <top style="medium">
        <color rgb="FF151B25"/>
      </top>
      <bottom/>
      <diagonal/>
    </border>
    <border>
      <left style="medium">
        <color rgb="FF151B25"/>
      </left>
      <right/>
      <top/>
      <bottom/>
      <diagonal/>
    </border>
    <border>
      <left/>
      <right style="medium">
        <color rgb="FF151B25"/>
      </right>
      <top/>
      <bottom/>
      <diagonal/>
    </border>
    <border>
      <left style="medium">
        <color rgb="FF151B25"/>
      </left>
      <right style="thin">
        <color rgb="FFB2B2B2"/>
      </right>
      <top style="thin">
        <color rgb="FFB2B2B2"/>
      </top>
      <bottom style="thin">
        <color rgb="FFB2B2B2"/>
      </bottom>
      <diagonal/>
    </border>
    <border>
      <left style="thin">
        <color rgb="FFB2B2B2"/>
      </left>
      <right style="medium">
        <color rgb="FF151B25"/>
      </right>
      <top style="thin">
        <color rgb="FFB2B2B2"/>
      </top>
      <bottom style="thin">
        <color rgb="FFB2B2B2"/>
      </bottom>
      <diagonal/>
    </border>
    <border>
      <left style="medium">
        <color rgb="FF151B25"/>
      </left>
      <right style="thin">
        <color rgb="FFB2B2B2"/>
      </right>
      <top style="thin">
        <color rgb="FFB2B2B2"/>
      </top>
      <bottom style="medium">
        <color rgb="FF151B25"/>
      </bottom>
      <diagonal/>
    </border>
    <border>
      <left style="thin">
        <color rgb="FFB2B2B2"/>
      </left>
      <right style="thin">
        <color rgb="FFB2B2B2"/>
      </right>
      <top style="thin">
        <color rgb="FFB2B2B2"/>
      </top>
      <bottom style="medium">
        <color rgb="FF151B25"/>
      </bottom>
      <diagonal/>
    </border>
    <border>
      <left style="thin">
        <color rgb="FFB2B2B2"/>
      </left>
      <right style="medium">
        <color rgb="FF151B25"/>
      </right>
      <top style="thin">
        <color rgb="FFB2B2B2"/>
      </top>
      <bottom style="medium">
        <color rgb="FF151B25"/>
      </bottom>
      <diagonal/>
    </border>
    <border>
      <left/>
      <right style="thin">
        <color indexed="64"/>
      </right>
      <top style="thin">
        <color indexed="64"/>
      </top>
      <bottom/>
      <diagonal/>
    </border>
    <border>
      <left style="thin">
        <color indexed="64"/>
      </left>
      <right style="thin">
        <color indexed="64"/>
      </right>
      <top style="thin">
        <color rgb="FFB2B2B2"/>
      </top>
      <bottom style="thin">
        <color indexed="64"/>
      </bottom>
      <diagonal/>
    </border>
    <border>
      <left/>
      <right/>
      <top style="thin">
        <color theme="1"/>
      </top>
      <bottom/>
      <diagonal/>
    </border>
    <border>
      <left/>
      <right/>
      <top style="thin">
        <color theme="1"/>
      </top>
      <bottom style="thin">
        <color theme="1"/>
      </bottom>
      <diagonal/>
    </border>
    <border>
      <left style="medium">
        <color indexed="64"/>
      </left>
      <right/>
      <top style="thin">
        <color theme="1"/>
      </top>
      <bottom style="thin">
        <color theme="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theme="1"/>
      </bottom>
      <diagonal/>
    </border>
    <border>
      <left/>
      <right/>
      <top style="thin">
        <color indexed="64"/>
      </top>
      <bottom style="thin">
        <color theme="1"/>
      </bottom>
      <diagonal/>
    </border>
    <border>
      <left/>
      <right/>
      <top style="thin">
        <color indexed="64"/>
      </top>
      <bottom/>
      <diagonal/>
    </border>
    <border>
      <left style="medium">
        <color indexed="64"/>
      </left>
      <right/>
      <top style="thin">
        <color theme="1"/>
      </top>
      <bottom style="thin">
        <color indexed="64"/>
      </bottom>
      <diagonal/>
    </border>
    <border>
      <left/>
      <right/>
      <top style="thin">
        <color theme="1"/>
      </top>
      <bottom style="thin">
        <color indexed="64"/>
      </bottom>
      <diagonal/>
    </border>
    <border>
      <left/>
      <right style="thin">
        <color indexed="64"/>
      </right>
      <top style="medium">
        <color indexed="64"/>
      </top>
      <bottom/>
      <diagonal/>
    </border>
    <border>
      <left/>
      <right style="thin">
        <color indexed="64"/>
      </right>
      <top style="thin">
        <color theme="1"/>
      </top>
      <bottom/>
      <diagonal/>
    </border>
    <border>
      <left/>
      <right style="thin">
        <color indexed="64"/>
      </right>
      <top style="thin">
        <color theme="1"/>
      </top>
      <bottom style="thin">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bottom style="thin">
        <color rgb="FF000000"/>
      </bottom>
      <diagonal/>
    </border>
    <border>
      <left/>
      <right/>
      <top style="thin">
        <color indexed="64"/>
      </top>
      <bottom style="thin">
        <color rgb="FF000000"/>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rgb="FF151B25"/>
      </left>
      <right/>
      <top style="thin">
        <color indexed="64"/>
      </top>
      <bottom style="thin">
        <color rgb="FF151B25"/>
      </bottom>
      <diagonal/>
    </border>
    <border>
      <left/>
      <right style="thin">
        <color rgb="FF151B25"/>
      </right>
      <top style="thin">
        <color indexed="64"/>
      </top>
      <bottom style="thin">
        <color rgb="FF151B25"/>
      </bottom>
      <diagonal/>
    </border>
    <border>
      <left/>
      <right style="thin">
        <color rgb="FFB2B2B2"/>
      </right>
      <top style="thin">
        <color rgb="FFB2B2B2"/>
      </top>
      <bottom style="thin">
        <color rgb="FFB2B2B2"/>
      </bottom>
      <diagonal/>
    </border>
  </borders>
  <cellStyleXfs count="8">
    <xf numFmtId="0" fontId="0" fillId="0" borderId="0"/>
    <xf numFmtId="9" fontId="1" fillId="0" borderId="0" applyFont="0" applyFill="0" applyBorder="0" applyAlignment="0" applyProtection="0"/>
    <xf numFmtId="0" fontId="1" fillId="2" borderId="1" applyNumberFormat="0" applyFont="0" applyAlignment="0" applyProtection="0"/>
    <xf numFmtId="0" fontId="5" fillId="0" borderId="0"/>
    <xf numFmtId="0" fontId="8" fillId="0" borderId="0" applyNumberFormat="0" applyFill="0" applyBorder="0" applyAlignment="0" applyProtection="0"/>
    <xf numFmtId="0" fontId="11" fillId="7" borderId="0" applyNumberFormat="0" applyBorder="0" applyAlignment="0" applyProtection="0"/>
    <xf numFmtId="0" fontId="29" fillId="0" borderId="0" applyNumberFormat="0" applyFill="0" applyBorder="0" applyAlignment="0" applyProtection="0"/>
    <xf numFmtId="0" fontId="59" fillId="10" borderId="0" applyNumberFormat="0" applyBorder="0" applyAlignment="0" applyProtection="0"/>
  </cellStyleXfs>
  <cellXfs count="334">
    <xf numFmtId="0" fontId="0" fillId="0" borderId="0" xfId="0"/>
    <xf numFmtId="0" fontId="2" fillId="3" borderId="0" xfId="0" applyFont="1" applyFill="1" applyAlignment="1" applyProtection="1">
      <alignment horizontal="center"/>
      <protection hidden="1"/>
    </xf>
    <xf numFmtId="0" fontId="2" fillId="3" borderId="0" xfId="0" applyFont="1" applyFill="1" applyAlignment="1" applyProtection="1">
      <alignment horizontal="right"/>
      <protection hidden="1"/>
    </xf>
    <xf numFmtId="166" fontId="2" fillId="3" borderId="0" xfId="0" applyNumberFormat="1" applyFont="1" applyFill="1" applyAlignment="1" applyProtection="1">
      <alignment horizontal="left"/>
      <protection hidden="1"/>
    </xf>
    <xf numFmtId="0" fontId="0" fillId="3" borderId="0" xfId="0" applyFill="1" applyProtection="1">
      <protection hidden="1"/>
    </xf>
    <xf numFmtId="0" fontId="0" fillId="0" borderId="0" xfId="0" applyProtection="1">
      <protection hidden="1"/>
    </xf>
    <xf numFmtId="0" fontId="7" fillId="3" borderId="0" xfId="0" applyFont="1" applyFill="1" applyAlignment="1" applyProtection="1">
      <alignment vertical="center"/>
      <protection hidden="1"/>
    </xf>
    <xf numFmtId="0" fontId="2" fillId="3" borderId="0" xfId="0" applyFont="1" applyFill="1" applyAlignment="1" applyProtection="1">
      <alignment horizontal="center" wrapText="1"/>
      <protection hidden="1"/>
    </xf>
    <xf numFmtId="0" fontId="3" fillId="3" borderId="0" xfId="2" applyFont="1" applyFill="1" applyBorder="1" applyAlignment="1" applyProtection="1">
      <alignment vertical="center"/>
      <protection hidden="1"/>
    </xf>
    <xf numFmtId="0" fontId="3" fillId="3" borderId="7" xfId="2" applyFont="1" applyFill="1" applyBorder="1" applyAlignment="1" applyProtection="1">
      <alignment vertical="center"/>
      <protection hidden="1"/>
    </xf>
    <xf numFmtId="0" fontId="10" fillId="3" borderId="0" xfId="0" applyFont="1" applyFill="1" applyAlignment="1" applyProtection="1">
      <alignment horizontal="center" wrapText="1"/>
      <protection hidden="1"/>
    </xf>
    <xf numFmtId="0" fontId="0" fillId="3" borderId="0" xfId="0" applyFill="1" applyAlignment="1" applyProtection="1">
      <alignment horizontal="center" vertical="center"/>
      <protection hidden="1"/>
    </xf>
    <xf numFmtId="0" fontId="0" fillId="3" borderId="10" xfId="0" applyFill="1" applyBorder="1" applyProtection="1">
      <protection hidden="1"/>
    </xf>
    <xf numFmtId="0" fontId="0" fillId="3" borderId="14" xfId="0" applyFill="1" applyBorder="1" applyProtection="1">
      <protection hidden="1"/>
    </xf>
    <xf numFmtId="0" fontId="3" fillId="3" borderId="0" xfId="0" applyFont="1" applyFill="1" applyAlignment="1" applyProtection="1">
      <alignment horizontal="center" wrapText="1"/>
      <protection hidden="1"/>
    </xf>
    <xf numFmtId="0" fontId="0" fillId="3" borderId="0" xfId="0" applyFill="1"/>
    <xf numFmtId="0" fontId="13" fillId="3" borderId="0" xfId="0" applyFont="1" applyFill="1" applyAlignment="1" applyProtection="1">
      <alignment horizontal="center"/>
      <protection hidden="1"/>
    </xf>
    <xf numFmtId="0" fontId="12" fillId="7" borderId="0" xfId="5" applyFont="1" applyBorder="1" applyAlignment="1" applyProtection="1">
      <alignment horizontal="center" vertical="center" wrapText="1"/>
      <protection hidden="1"/>
    </xf>
    <xf numFmtId="1" fontId="13" fillId="5" borderId="0" xfId="0" applyNumberFormat="1" applyFont="1" applyFill="1" applyAlignment="1" applyProtection="1">
      <alignment horizontal="center"/>
      <protection hidden="1"/>
    </xf>
    <xf numFmtId="0" fontId="13" fillId="4" borderId="0" xfId="2" applyFont="1" applyFill="1" applyBorder="1" applyAlignment="1" applyProtection="1">
      <alignment horizontal="center"/>
      <protection hidden="1"/>
    </xf>
    <xf numFmtId="165" fontId="13" fillId="3" borderId="0" xfId="0" applyNumberFormat="1" applyFont="1" applyFill="1" applyAlignment="1" applyProtection="1">
      <alignment horizontal="center"/>
      <protection hidden="1"/>
    </xf>
    <xf numFmtId="2" fontId="13" fillId="3" borderId="0" xfId="0" applyNumberFormat="1" applyFont="1" applyFill="1" applyAlignment="1" applyProtection="1">
      <alignment horizontal="center"/>
      <protection hidden="1"/>
    </xf>
    <xf numFmtId="165" fontId="13" fillId="3" borderId="0" xfId="2" applyNumberFormat="1" applyFont="1" applyFill="1" applyBorder="1" applyAlignment="1" applyProtection="1">
      <alignment horizontal="center"/>
      <protection hidden="1"/>
    </xf>
    <xf numFmtId="0" fontId="13" fillId="3" borderId="0" xfId="2" applyFont="1" applyFill="1" applyBorder="1" applyAlignment="1" applyProtection="1">
      <alignment horizontal="center"/>
      <protection hidden="1"/>
    </xf>
    <xf numFmtId="0" fontId="13" fillId="3" borderId="0" xfId="2" applyNumberFormat="1" applyFont="1" applyFill="1" applyBorder="1" applyAlignment="1" applyProtection="1">
      <alignment horizontal="center"/>
      <protection hidden="1"/>
    </xf>
    <xf numFmtId="0" fontId="13" fillId="4" borderId="0" xfId="2" applyNumberFormat="1" applyFont="1" applyFill="1" applyBorder="1" applyAlignment="1" applyProtection="1">
      <alignment horizontal="center"/>
      <protection hidden="1"/>
    </xf>
    <xf numFmtId="0" fontId="20" fillId="8" borderId="0" xfId="5" applyFont="1" applyFill="1" applyProtection="1">
      <protection hidden="1"/>
    </xf>
    <xf numFmtId="0" fontId="16" fillId="8" borderId="0" xfId="5" applyFont="1" applyFill="1" applyProtection="1">
      <protection hidden="1"/>
    </xf>
    <xf numFmtId="0" fontId="18" fillId="9" borderId="0" xfId="5" applyFont="1" applyFill="1" applyProtection="1">
      <protection hidden="1"/>
    </xf>
    <xf numFmtId="0" fontId="16" fillId="6" borderId="0" xfId="5" applyFont="1" applyFill="1" applyProtection="1">
      <protection hidden="1"/>
    </xf>
    <xf numFmtId="0" fontId="16" fillId="9" borderId="0" xfId="5" applyFont="1" applyFill="1" applyProtection="1">
      <protection hidden="1"/>
    </xf>
    <xf numFmtId="0" fontId="21" fillId="8" borderId="0" xfId="0" applyFont="1" applyFill="1" applyProtection="1">
      <protection hidden="1"/>
    </xf>
    <xf numFmtId="0" fontId="17" fillId="8" borderId="0" xfId="0" applyFont="1" applyFill="1" applyProtection="1">
      <protection hidden="1"/>
    </xf>
    <xf numFmtId="0" fontId="19" fillId="9" borderId="0" xfId="0" applyFont="1" applyFill="1" applyProtection="1">
      <protection hidden="1"/>
    </xf>
    <xf numFmtId="0" fontId="17" fillId="6" borderId="0" xfId="0" applyFont="1" applyFill="1" applyProtection="1">
      <protection hidden="1"/>
    </xf>
    <xf numFmtId="0" fontId="17" fillId="9" borderId="0" xfId="0" applyFont="1" applyFill="1" applyProtection="1">
      <protection hidden="1"/>
    </xf>
    <xf numFmtId="0" fontId="24" fillId="8" borderId="0" xfId="0" applyFont="1" applyFill="1" applyProtection="1">
      <protection hidden="1"/>
    </xf>
    <xf numFmtId="0" fontId="21" fillId="6" borderId="0" xfId="0" applyFont="1" applyFill="1" applyProtection="1">
      <protection hidden="1"/>
    </xf>
    <xf numFmtId="0" fontId="21" fillId="9" borderId="0" xfId="0" applyFont="1" applyFill="1" applyProtection="1">
      <protection hidden="1"/>
    </xf>
    <xf numFmtId="0" fontId="21" fillId="8" borderId="0" xfId="0" applyFont="1" applyFill="1" applyAlignment="1" applyProtection="1">
      <alignment horizontal="left" vertical="center" indent="1"/>
      <protection hidden="1"/>
    </xf>
    <xf numFmtId="0" fontId="22" fillId="8" borderId="0" xfId="0" applyFont="1" applyFill="1" applyProtection="1">
      <protection hidden="1"/>
    </xf>
    <xf numFmtId="0" fontId="21" fillId="8" borderId="0" xfId="0" applyFont="1" applyFill="1" applyAlignment="1" applyProtection="1">
      <alignment horizontal="left" wrapText="1"/>
      <protection hidden="1"/>
    </xf>
    <xf numFmtId="0" fontId="21" fillId="8" borderId="0" xfId="0" applyFont="1" applyFill="1" applyAlignment="1" applyProtection="1">
      <alignment horizontal="left"/>
      <protection hidden="1"/>
    </xf>
    <xf numFmtId="0" fontId="19" fillId="9" borderId="0" xfId="0" applyFont="1" applyFill="1" applyAlignment="1" applyProtection="1">
      <alignment readingOrder="2"/>
      <protection hidden="1"/>
    </xf>
    <xf numFmtId="0" fontId="29" fillId="8" borderId="0" xfId="6" applyFill="1" applyProtection="1">
      <protection hidden="1"/>
    </xf>
    <xf numFmtId="0" fontId="30" fillId="6" borderId="0" xfId="0" applyFont="1" applyFill="1" applyProtection="1">
      <protection hidden="1"/>
    </xf>
    <xf numFmtId="0" fontId="30" fillId="6" borderId="0" xfId="0" quotePrefix="1" applyFont="1" applyFill="1" applyAlignment="1" applyProtection="1">
      <alignment horizontal="right"/>
      <protection hidden="1"/>
    </xf>
    <xf numFmtId="0" fontId="30" fillId="6" borderId="0" xfId="0" quotePrefix="1" applyFont="1" applyFill="1" applyAlignment="1" applyProtection="1">
      <alignment horizontal="right" vertical="center"/>
      <protection hidden="1"/>
    </xf>
    <xf numFmtId="0" fontId="31" fillId="6" borderId="0" xfId="0" applyFont="1" applyFill="1" applyProtection="1">
      <protection hidden="1"/>
    </xf>
    <xf numFmtId="0" fontId="32" fillId="7" borderId="25" xfId="5" applyFont="1" applyBorder="1" applyAlignment="1" applyProtection="1">
      <alignment horizontal="center" vertical="center" wrapText="1"/>
      <protection hidden="1"/>
    </xf>
    <xf numFmtId="0" fontId="17" fillId="6" borderId="0" xfId="0" applyFont="1" applyFill="1" applyAlignment="1" applyProtection="1">
      <alignment horizontal="left"/>
      <protection hidden="1"/>
    </xf>
    <xf numFmtId="0" fontId="17" fillId="6" borderId="0" xfId="0" quotePrefix="1" applyFont="1" applyFill="1" applyAlignment="1" applyProtection="1">
      <alignment horizontal="left" vertical="center"/>
      <protection hidden="1"/>
    </xf>
    <xf numFmtId="0" fontId="30" fillId="6" borderId="0" xfId="0" applyFont="1" applyFill="1" applyAlignment="1" applyProtection="1">
      <alignment horizontal="right"/>
      <protection hidden="1"/>
    </xf>
    <xf numFmtId="0" fontId="36" fillId="6" borderId="0" xfId="0" quotePrefix="1" applyFont="1" applyFill="1" applyAlignment="1" applyProtection="1">
      <alignment horizontal="right"/>
      <protection hidden="1"/>
    </xf>
    <xf numFmtId="0" fontId="37" fillId="7" borderId="34" xfId="5" applyFont="1" applyBorder="1" applyAlignment="1">
      <alignment horizontal="center" vertical="center" wrapText="1"/>
    </xf>
    <xf numFmtId="165" fontId="14" fillId="0" borderId="35" xfId="0" applyNumberFormat="1" applyFont="1" applyBorder="1" applyAlignment="1">
      <alignment horizontal="center" vertical="center"/>
    </xf>
    <xf numFmtId="165" fontId="39" fillId="8" borderId="10" xfId="0" applyNumberFormat="1" applyFont="1" applyFill="1" applyBorder="1" applyAlignment="1">
      <alignment horizontal="center" vertical="center"/>
    </xf>
    <xf numFmtId="0" fontId="17" fillId="3" borderId="10" xfId="0" applyFont="1" applyFill="1" applyBorder="1" applyProtection="1">
      <protection hidden="1"/>
    </xf>
    <xf numFmtId="0" fontId="17" fillId="3" borderId="11" xfId="0" applyFont="1" applyFill="1" applyBorder="1" applyProtection="1">
      <protection hidden="1"/>
    </xf>
    <xf numFmtId="0" fontId="17" fillId="3" borderId="0" xfId="0" applyFont="1" applyFill="1" applyProtection="1">
      <protection hidden="1"/>
    </xf>
    <xf numFmtId="0" fontId="17" fillId="3" borderId="12" xfId="0" applyFont="1" applyFill="1" applyBorder="1" applyProtection="1">
      <protection hidden="1"/>
    </xf>
    <xf numFmtId="165" fontId="0" fillId="3" borderId="0" xfId="0" applyNumberFormat="1" applyFill="1" applyAlignment="1" applyProtection="1">
      <alignment horizontal="center" vertical="center"/>
      <protection hidden="1"/>
    </xf>
    <xf numFmtId="0" fontId="17" fillId="3" borderId="14" xfId="0" applyFont="1" applyFill="1" applyBorder="1" applyProtection="1">
      <protection hidden="1"/>
    </xf>
    <xf numFmtId="0" fontId="17" fillId="3" borderId="15" xfId="0" applyFont="1" applyFill="1" applyBorder="1" applyProtection="1">
      <protection hidden="1"/>
    </xf>
    <xf numFmtId="0" fontId="33" fillId="3" borderId="28" xfId="2" applyFont="1" applyFill="1" applyBorder="1" applyAlignment="1" applyProtection="1">
      <alignment horizontal="center" vertical="center"/>
      <protection locked="0"/>
    </xf>
    <xf numFmtId="0" fontId="33" fillId="3" borderId="1" xfId="2" applyFont="1" applyFill="1" applyAlignment="1" applyProtection="1">
      <alignment horizontal="center" vertical="center"/>
      <protection locked="0"/>
    </xf>
    <xf numFmtId="0" fontId="33" fillId="3" borderId="1" xfId="2" applyFont="1" applyFill="1" applyAlignment="1" applyProtection="1">
      <alignment horizontal="center"/>
      <protection hidden="1"/>
    </xf>
    <xf numFmtId="0" fontId="33" fillId="3" borderId="29" xfId="2" applyFont="1" applyFill="1" applyBorder="1" applyAlignment="1" applyProtection="1">
      <alignment horizontal="center" vertical="center"/>
      <protection locked="0"/>
    </xf>
    <xf numFmtId="0" fontId="33" fillId="3" borderId="30" xfId="2" applyFont="1" applyFill="1" applyBorder="1" applyAlignment="1" applyProtection="1">
      <alignment horizontal="center" vertical="center"/>
      <protection locked="0"/>
    </xf>
    <xf numFmtId="0" fontId="33" fillId="3" borderId="31" xfId="2" applyFont="1" applyFill="1" applyBorder="1" applyAlignment="1" applyProtection="1">
      <alignment horizontal="center" vertical="center"/>
      <protection locked="0"/>
    </xf>
    <xf numFmtId="0" fontId="33" fillId="3" borderId="31" xfId="2" applyFont="1" applyFill="1" applyBorder="1" applyAlignment="1" applyProtection="1">
      <alignment horizontal="center"/>
      <protection hidden="1"/>
    </xf>
    <xf numFmtId="0" fontId="33" fillId="3" borderId="32" xfId="2" applyFont="1" applyFill="1" applyBorder="1" applyAlignment="1" applyProtection="1">
      <alignment horizontal="center" vertical="center"/>
      <protection locked="0"/>
    </xf>
    <xf numFmtId="0" fontId="2" fillId="3" borderId="1" xfId="2" applyFont="1" applyFill="1" applyAlignment="1">
      <alignment horizontal="center" vertical="center" wrapText="1"/>
    </xf>
    <xf numFmtId="0" fontId="2" fillId="3" borderId="1" xfId="2" applyFont="1" applyFill="1" applyAlignment="1">
      <alignment horizontal="center" vertical="center"/>
    </xf>
    <xf numFmtId="10" fontId="2" fillId="3" borderId="1" xfId="2" applyNumberFormat="1" applyFont="1" applyFill="1" applyAlignment="1">
      <alignment horizontal="center" vertical="center"/>
    </xf>
    <xf numFmtId="0" fontId="11" fillId="7" borderId="38" xfId="5" applyBorder="1" applyAlignment="1" applyProtection="1">
      <alignment horizontal="center" vertical="center"/>
      <protection hidden="1"/>
    </xf>
    <xf numFmtId="0" fontId="11" fillId="7" borderId="39" xfId="5" applyBorder="1" applyAlignment="1" applyProtection="1">
      <alignment horizontal="center" vertical="center"/>
      <protection hidden="1"/>
    </xf>
    <xf numFmtId="165" fontId="14" fillId="0" borderId="42" xfId="0" applyNumberFormat="1" applyFont="1" applyBorder="1" applyAlignment="1">
      <alignment horizontal="center" vertical="center" wrapText="1"/>
    </xf>
    <xf numFmtId="165" fontId="14" fillId="0" borderId="44" xfId="0" applyNumberFormat="1" applyFont="1" applyBorder="1" applyAlignment="1">
      <alignment horizontal="center" vertical="center"/>
    </xf>
    <xf numFmtId="165" fontId="14" fillId="0" borderId="4" xfId="0" applyNumberFormat="1" applyFont="1" applyBorder="1" applyAlignment="1">
      <alignment horizontal="center" vertical="center"/>
    </xf>
    <xf numFmtId="165" fontId="0" fillId="3" borderId="6" xfId="2" applyNumberFormat="1" applyFont="1" applyFill="1" applyBorder="1" applyAlignment="1" applyProtection="1">
      <alignment horizontal="center" vertical="center"/>
      <protection hidden="1"/>
    </xf>
    <xf numFmtId="0" fontId="30" fillId="3" borderId="0" xfId="0" applyFont="1" applyFill="1" applyProtection="1">
      <protection hidden="1"/>
    </xf>
    <xf numFmtId="0" fontId="21" fillId="3" borderId="0" xfId="0" applyFont="1" applyFill="1" applyProtection="1">
      <protection hidden="1"/>
    </xf>
    <xf numFmtId="0" fontId="13" fillId="5" borderId="0" xfId="0" applyFont="1" applyFill="1" applyAlignment="1" applyProtection="1">
      <alignment horizontal="center"/>
      <protection hidden="1"/>
    </xf>
    <xf numFmtId="0" fontId="12" fillId="7" borderId="57" xfId="5" applyFont="1" applyBorder="1" applyAlignment="1" applyProtection="1">
      <alignment horizontal="center" vertical="center" wrapText="1"/>
      <protection hidden="1"/>
    </xf>
    <xf numFmtId="0" fontId="12" fillId="7" borderId="56" xfId="5" applyFont="1" applyBorder="1" applyAlignment="1" applyProtection="1">
      <alignment horizontal="center" vertical="center" wrapText="1"/>
      <protection hidden="1"/>
    </xf>
    <xf numFmtId="166" fontId="2" fillId="3" borderId="0" xfId="0" applyNumberFormat="1" applyFont="1" applyFill="1" applyAlignment="1" applyProtection="1">
      <alignment horizontal="right"/>
      <protection hidden="1"/>
    </xf>
    <xf numFmtId="0" fontId="40" fillId="7" borderId="2" xfId="5" applyFont="1" applyBorder="1" applyAlignment="1" applyProtection="1">
      <alignment horizontal="center" vertical="center" wrapText="1"/>
      <protection hidden="1"/>
    </xf>
    <xf numFmtId="0" fontId="44" fillId="2" borderId="1" xfId="2" applyFont="1" applyAlignment="1" applyProtection="1">
      <alignment horizontal="center"/>
      <protection locked="0"/>
    </xf>
    <xf numFmtId="0" fontId="44" fillId="2" borderId="1" xfId="2" applyFont="1" applyAlignment="1" applyProtection="1">
      <alignment horizontal="center" vertical="center" wrapText="1"/>
      <protection locked="0"/>
    </xf>
    <xf numFmtId="0" fontId="9" fillId="3" borderId="0" xfId="0" applyFont="1" applyFill="1" applyAlignment="1" applyProtection="1">
      <alignment vertical="center"/>
      <protection hidden="1"/>
    </xf>
    <xf numFmtId="0" fontId="47" fillId="7" borderId="3" xfId="5" applyFont="1" applyBorder="1" applyAlignment="1" applyProtection="1">
      <alignment horizontal="center" vertical="center" wrapText="1"/>
      <protection hidden="1"/>
    </xf>
    <xf numFmtId="0" fontId="47" fillId="7" borderId="4" xfId="5" applyFont="1" applyBorder="1" applyAlignment="1" applyProtection="1">
      <alignment horizontal="center" vertical="center" wrapText="1"/>
      <protection hidden="1"/>
    </xf>
    <xf numFmtId="0" fontId="47" fillId="7" borderId="4" xfId="5" applyFont="1" applyBorder="1" applyAlignment="1" applyProtection="1">
      <alignment horizontal="center" vertical="center"/>
      <protection hidden="1"/>
    </xf>
    <xf numFmtId="0" fontId="47" fillId="7" borderId="5" xfId="5" applyFont="1" applyBorder="1" applyAlignment="1" applyProtection="1">
      <alignment horizontal="center" vertical="center"/>
      <protection hidden="1"/>
    </xf>
    <xf numFmtId="0" fontId="25" fillId="3" borderId="0" xfId="0" applyFont="1" applyFill="1" applyAlignment="1" applyProtection="1">
      <alignment horizontal="center"/>
      <protection hidden="1"/>
    </xf>
    <xf numFmtId="0" fontId="25" fillId="3" borderId="0" xfId="0" applyFont="1" applyFill="1" applyAlignment="1" applyProtection="1">
      <alignment horizontal="center" vertical="center"/>
      <protection hidden="1"/>
    </xf>
    <xf numFmtId="0" fontId="19" fillId="6" borderId="0" xfId="0" applyFont="1" applyFill="1" applyProtection="1">
      <protection hidden="1"/>
    </xf>
    <xf numFmtId="0" fontId="49" fillId="2" borderId="6" xfId="2" applyFont="1" applyBorder="1" applyAlignment="1" applyProtection="1">
      <alignment horizontal="center" vertical="center"/>
      <protection locked="0"/>
    </xf>
    <xf numFmtId="164" fontId="49" fillId="0" borderId="6" xfId="2" applyNumberFormat="1" applyFont="1" applyFill="1" applyBorder="1" applyAlignment="1" applyProtection="1">
      <alignment horizontal="center"/>
      <protection hidden="1"/>
    </xf>
    <xf numFmtId="0" fontId="49" fillId="0" borderId="1" xfId="2" applyFont="1" applyFill="1" applyAlignment="1" applyProtection="1">
      <alignment horizontal="center"/>
      <protection hidden="1"/>
    </xf>
    <xf numFmtId="164" fontId="49" fillId="0" borderId="6" xfId="1" applyNumberFormat="1" applyFont="1" applyFill="1" applyBorder="1" applyAlignment="1" applyProtection="1">
      <alignment horizontal="center"/>
      <protection hidden="1"/>
    </xf>
    <xf numFmtId="0" fontId="49" fillId="0" borderId="6" xfId="2" applyFont="1" applyFill="1" applyBorder="1" applyAlignment="1" applyProtection="1">
      <alignment horizontal="center"/>
      <protection hidden="1"/>
    </xf>
    <xf numFmtId="0" fontId="49" fillId="2" borderId="1" xfId="2" applyFont="1" applyAlignment="1" applyProtection="1">
      <alignment horizontal="center" vertical="center"/>
      <protection locked="0"/>
    </xf>
    <xf numFmtId="164" fontId="49" fillId="0" borderId="1" xfId="2" applyNumberFormat="1" applyFont="1" applyFill="1" applyAlignment="1" applyProtection="1">
      <alignment horizontal="center"/>
      <protection hidden="1"/>
    </xf>
    <xf numFmtId="0" fontId="25" fillId="6" borderId="0" xfId="0" applyFont="1" applyFill="1" applyAlignment="1" applyProtection="1">
      <alignment horizontal="center"/>
      <protection hidden="1"/>
    </xf>
    <xf numFmtId="0" fontId="25" fillId="6" borderId="0" xfId="0" applyFont="1" applyFill="1" applyAlignment="1" applyProtection="1">
      <alignment horizontal="left"/>
      <protection hidden="1"/>
    </xf>
    <xf numFmtId="0" fontId="25" fillId="6" borderId="0" xfId="0" applyFont="1" applyFill="1" applyAlignment="1" applyProtection="1">
      <alignment horizontal="center" vertical="center"/>
      <protection hidden="1"/>
    </xf>
    <xf numFmtId="0" fontId="43" fillId="3" borderId="0" xfId="0" applyFont="1" applyFill="1" applyAlignment="1" applyProtection="1">
      <alignment horizontal="center"/>
      <protection hidden="1"/>
    </xf>
    <xf numFmtId="0" fontId="46" fillId="3" borderId="0" xfId="0" applyFont="1" applyFill="1" applyProtection="1">
      <protection hidden="1"/>
    </xf>
    <xf numFmtId="0" fontId="46" fillId="0" borderId="0" xfId="0" applyFont="1" applyProtection="1">
      <protection hidden="1"/>
    </xf>
    <xf numFmtId="0" fontId="43" fillId="3" borderId="0" xfId="0" applyFont="1" applyFill="1" applyAlignment="1" applyProtection="1">
      <alignment horizontal="right"/>
      <protection hidden="1"/>
    </xf>
    <xf numFmtId="166" fontId="43" fillId="3" borderId="0" xfId="0" applyNumberFormat="1" applyFont="1" applyFill="1" applyAlignment="1" applyProtection="1">
      <alignment horizontal="left"/>
      <protection hidden="1"/>
    </xf>
    <xf numFmtId="0" fontId="22" fillId="3" borderId="0" xfId="0" applyFont="1" applyFill="1" applyAlignment="1" applyProtection="1">
      <alignment vertical="center"/>
      <protection hidden="1"/>
    </xf>
    <xf numFmtId="0" fontId="43" fillId="3" borderId="0" xfId="0" applyFont="1" applyFill="1" applyAlignment="1" applyProtection="1">
      <alignment horizontal="center" wrapText="1"/>
      <protection hidden="1"/>
    </xf>
    <xf numFmtId="0" fontId="48" fillId="3" borderId="0" xfId="2" applyFont="1" applyFill="1" applyBorder="1" applyAlignment="1" applyProtection="1">
      <alignment vertical="center"/>
      <protection hidden="1"/>
    </xf>
    <xf numFmtId="0" fontId="48" fillId="3" borderId="7" xfId="2" applyFont="1" applyFill="1" applyBorder="1" applyAlignment="1" applyProtection="1">
      <alignment vertical="center"/>
      <protection hidden="1"/>
    </xf>
    <xf numFmtId="0" fontId="43" fillId="2" borderId="1" xfId="2" applyFont="1" applyAlignment="1" applyProtection="1">
      <alignment horizontal="center" vertical="center" wrapText="1"/>
      <protection locked="0"/>
    </xf>
    <xf numFmtId="0" fontId="43" fillId="2" borderId="1" xfId="2" applyFont="1" applyAlignment="1" applyProtection="1">
      <alignment horizontal="center" vertical="center"/>
      <protection locked="0"/>
    </xf>
    <xf numFmtId="10" fontId="43" fillId="2" borderId="1" xfId="2" applyNumberFormat="1" applyFont="1" applyAlignment="1" applyProtection="1">
      <alignment horizontal="center" vertical="center"/>
      <protection locked="0"/>
    </xf>
    <xf numFmtId="10" fontId="46" fillId="2" borderId="1" xfId="2" applyNumberFormat="1" applyFont="1" applyProtection="1">
      <protection locked="0"/>
    </xf>
    <xf numFmtId="0" fontId="48" fillId="3" borderId="0" xfId="0" applyFont="1" applyFill="1" applyAlignment="1" applyProtection="1">
      <alignment horizontal="center"/>
      <protection hidden="1"/>
    </xf>
    <xf numFmtId="0" fontId="43" fillId="3" borderId="0" xfId="0" applyFont="1" applyFill="1" applyAlignment="1" applyProtection="1">
      <alignment horizontal="center" vertical="center"/>
      <protection hidden="1"/>
    </xf>
    <xf numFmtId="0" fontId="40" fillId="3" borderId="0" xfId="2" applyFont="1" applyFill="1" applyBorder="1" applyAlignment="1" applyProtection="1">
      <alignment horizontal="center" vertical="center"/>
      <protection hidden="1"/>
    </xf>
    <xf numFmtId="0" fontId="48" fillId="3" borderId="0" xfId="2" applyNumberFormat="1" applyFont="1" applyFill="1" applyBorder="1" applyAlignment="1" applyProtection="1">
      <alignment horizontal="center"/>
      <protection hidden="1"/>
    </xf>
    <xf numFmtId="0" fontId="25" fillId="6" borderId="0" xfId="0" applyFont="1" applyFill="1" applyAlignment="1" applyProtection="1">
      <alignment horizontal="left"/>
      <protection locked="0"/>
    </xf>
    <xf numFmtId="0" fontId="43" fillId="6" borderId="0" xfId="0" applyFont="1" applyFill="1" applyAlignment="1" applyProtection="1">
      <alignment horizontal="center"/>
      <protection hidden="1"/>
    </xf>
    <xf numFmtId="0" fontId="25" fillId="6" borderId="0" xfId="2" applyNumberFormat="1" applyFont="1" applyFill="1" applyBorder="1" applyAlignment="1" applyProtection="1">
      <alignment horizontal="center"/>
      <protection hidden="1"/>
    </xf>
    <xf numFmtId="0" fontId="46" fillId="3" borderId="0" xfId="0" applyFont="1" applyFill="1"/>
    <xf numFmtId="0" fontId="19" fillId="3" borderId="0" xfId="0" applyFont="1" applyFill="1" applyProtection="1">
      <protection hidden="1"/>
    </xf>
    <xf numFmtId="0" fontId="43" fillId="2" borderId="1" xfId="2" applyFont="1" applyAlignment="1" applyProtection="1">
      <alignment horizontal="center"/>
      <protection locked="0"/>
    </xf>
    <xf numFmtId="165" fontId="43" fillId="2" borderId="1" xfId="2" applyNumberFormat="1" applyFont="1" applyAlignment="1" applyProtection="1">
      <alignment horizontal="center"/>
      <protection locked="0"/>
    </xf>
    <xf numFmtId="0" fontId="50" fillId="3" borderId="0" xfId="0" applyFont="1" applyFill="1" applyAlignment="1" applyProtection="1">
      <alignment vertical="center"/>
      <protection hidden="1"/>
    </xf>
    <xf numFmtId="0" fontId="52" fillId="3" borderId="0" xfId="0" applyFont="1" applyFill="1" applyAlignment="1" applyProtection="1">
      <alignment horizontal="left"/>
      <protection hidden="1"/>
    </xf>
    <xf numFmtId="0" fontId="46" fillId="3" borderId="3" xfId="0" applyFont="1" applyFill="1" applyBorder="1" applyAlignment="1" applyProtection="1">
      <alignment horizontal="center" vertical="center"/>
      <protection hidden="1"/>
    </xf>
    <xf numFmtId="0" fontId="46" fillId="3" borderId="5" xfId="0" applyFont="1" applyFill="1" applyBorder="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51" fillId="3" borderId="0" xfId="0" applyFont="1" applyFill="1" applyAlignment="1" applyProtection="1">
      <alignment horizontal="left"/>
      <protection hidden="1"/>
    </xf>
    <xf numFmtId="165" fontId="46" fillId="0" borderId="0" xfId="0" applyNumberFormat="1" applyFont="1" applyAlignment="1" applyProtection="1">
      <alignment horizontal="center" vertical="center"/>
      <protection hidden="1"/>
    </xf>
    <xf numFmtId="0" fontId="18" fillId="3" borderId="0" xfId="0" applyFont="1" applyFill="1" applyAlignment="1" applyProtection="1">
      <alignment horizontal="left"/>
      <protection hidden="1"/>
    </xf>
    <xf numFmtId="0" fontId="30" fillId="3" borderId="0" xfId="0" applyFont="1" applyFill="1" applyAlignment="1" applyProtection="1">
      <alignment vertical="top"/>
      <protection hidden="1"/>
    </xf>
    <xf numFmtId="0" fontId="0" fillId="3" borderId="0" xfId="0" applyFill="1" applyAlignment="1">
      <alignment wrapText="1"/>
    </xf>
    <xf numFmtId="0" fontId="22" fillId="0" borderId="0" xfId="0" applyFont="1"/>
    <xf numFmtId="0" fontId="22" fillId="0" borderId="0" xfId="0" applyFont="1" applyAlignment="1" applyProtection="1">
      <alignment horizontal="center" vertical="center"/>
      <protection hidden="1"/>
    </xf>
    <xf numFmtId="165" fontId="19" fillId="0" borderId="0" xfId="0" applyNumberFormat="1" applyFont="1" applyAlignment="1" applyProtection="1">
      <alignment horizontal="left" vertical="center" wrapText="1"/>
      <protection hidden="1"/>
    </xf>
    <xf numFmtId="2" fontId="19" fillId="0" borderId="0" xfId="0" applyNumberFormat="1" applyFont="1" applyAlignment="1" applyProtection="1">
      <alignment horizontal="left" vertical="center" wrapText="1"/>
      <protection hidden="1"/>
    </xf>
    <xf numFmtId="0" fontId="40" fillId="3" borderId="0" xfId="0" applyFont="1" applyFill="1" applyAlignment="1" applyProtection="1">
      <alignment horizontal="left" vertical="center"/>
      <protection hidden="1"/>
    </xf>
    <xf numFmtId="0" fontId="48" fillId="3" borderId="0" xfId="0" applyFont="1" applyFill="1" applyAlignment="1" applyProtection="1">
      <alignment horizontal="left" vertical="center"/>
      <protection hidden="1"/>
    </xf>
    <xf numFmtId="0" fontId="48" fillId="3" borderId="0" xfId="0" applyFont="1" applyFill="1" applyAlignment="1" applyProtection="1">
      <alignment horizontal="center" vertical="center"/>
      <protection hidden="1"/>
    </xf>
    <xf numFmtId="0" fontId="40" fillId="3" borderId="0" xfId="0" applyFont="1" applyFill="1" applyAlignment="1" applyProtection="1">
      <alignment horizontal="center" vertical="center"/>
      <protection hidden="1"/>
    </xf>
    <xf numFmtId="0" fontId="25" fillId="8" borderId="3" xfId="0" applyFont="1" applyFill="1" applyBorder="1" applyAlignment="1" applyProtection="1">
      <alignment horizontal="left" vertical="center"/>
      <protection hidden="1"/>
    </xf>
    <xf numFmtId="0" fontId="40" fillId="8" borderId="2" xfId="5" applyFont="1" applyFill="1" applyBorder="1" applyAlignment="1" applyProtection="1">
      <alignment horizontal="left" vertical="center"/>
      <protection hidden="1"/>
    </xf>
    <xf numFmtId="0" fontId="55" fillId="3" borderId="58" xfId="5" applyFont="1" applyFill="1" applyBorder="1" applyAlignment="1" applyProtection="1">
      <alignment horizontal="left" vertical="center"/>
      <protection hidden="1"/>
    </xf>
    <xf numFmtId="1" fontId="55" fillId="3" borderId="59" xfId="5" applyNumberFormat="1" applyFont="1" applyFill="1" applyBorder="1" applyAlignment="1" applyProtection="1">
      <alignment horizontal="left" vertical="center"/>
      <protection hidden="1"/>
    </xf>
    <xf numFmtId="1" fontId="48" fillId="3" borderId="0" xfId="0" applyNumberFormat="1" applyFont="1" applyFill="1" applyAlignment="1" applyProtection="1">
      <alignment horizontal="left" vertical="center"/>
      <protection hidden="1"/>
    </xf>
    <xf numFmtId="0" fontId="40" fillId="3" borderId="0" xfId="0" applyFont="1" applyFill="1" applyProtection="1">
      <protection hidden="1"/>
    </xf>
    <xf numFmtId="0" fontId="48" fillId="3" borderId="0" xfId="0" applyFont="1" applyFill="1" applyProtection="1">
      <protection hidden="1"/>
    </xf>
    <xf numFmtId="0" fontId="40" fillId="6" borderId="0" xfId="0" applyFont="1" applyFill="1" applyAlignment="1" applyProtection="1">
      <alignment horizontal="left" vertical="center"/>
      <protection hidden="1"/>
    </xf>
    <xf numFmtId="0" fontId="48" fillId="6" borderId="0" xfId="0" applyFont="1" applyFill="1" applyAlignment="1" applyProtection="1">
      <alignment horizontal="center" vertical="center"/>
      <protection hidden="1"/>
    </xf>
    <xf numFmtId="1" fontId="48" fillId="6" borderId="0" xfId="0" applyNumberFormat="1" applyFont="1" applyFill="1" applyAlignment="1" applyProtection="1">
      <alignment horizontal="left" vertical="center" wrapText="1"/>
      <protection hidden="1"/>
    </xf>
    <xf numFmtId="0" fontId="48" fillId="6" borderId="0" xfId="0" applyFont="1" applyFill="1" applyAlignment="1" applyProtection="1">
      <alignment horizontal="left" vertical="center"/>
      <protection hidden="1"/>
    </xf>
    <xf numFmtId="0" fontId="56" fillId="6" borderId="0" xfId="5" applyFont="1" applyFill="1" applyBorder="1" applyAlignment="1" applyProtection="1">
      <alignment horizontal="right" vertical="center"/>
      <protection hidden="1"/>
    </xf>
    <xf numFmtId="0" fontId="48" fillId="6" borderId="0" xfId="0" applyFont="1" applyFill="1" applyAlignment="1" applyProtection="1">
      <alignment horizontal="left" vertical="center" wrapText="1"/>
      <protection hidden="1"/>
    </xf>
    <xf numFmtId="0" fontId="54" fillId="3" borderId="0" xfId="0" applyFont="1" applyFill="1" applyAlignment="1">
      <alignment horizontal="right"/>
    </xf>
    <xf numFmtId="0" fontId="0" fillId="3" borderId="0" xfId="0" applyFill="1" applyAlignment="1">
      <alignment horizontal="left"/>
    </xf>
    <xf numFmtId="0" fontId="57" fillId="3" borderId="0" xfId="4" applyFont="1" applyFill="1" applyAlignment="1" applyProtection="1">
      <alignment horizontal="right"/>
      <protection hidden="1"/>
    </xf>
    <xf numFmtId="0" fontId="58" fillId="3" borderId="0" xfId="0" applyFont="1" applyFill="1" applyAlignment="1">
      <alignment horizontal="right"/>
    </xf>
    <xf numFmtId="0" fontId="47" fillId="7" borderId="2" xfId="5" applyFont="1" applyBorder="1" applyAlignment="1" applyProtection="1">
      <alignment horizontal="center" vertical="center" wrapText="1"/>
      <protection hidden="1"/>
    </xf>
    <xf numFmtId="0" fontId="40" fillId="8" borderId="0" xfId="5" applyFont="1" applyFill="1" applyAlignment="1" applyProtection="1">
      <alignment horizontal="center" vertical="center"/>
      <protection hidden="1"/>
    </xf>
    <xf numFmtId="0" fontId="43" fillId="8" borderId="0" xfId="0" applyFont="1" applyFill="1" applyAlignment="1" applyProtection="1">
      <alignment horizontal="center"/>
      <protection hidden="1"/>
    </xf>
    <xf numFmtId="0" fontId="46" fillId="0" borderId="0" xfId="0" applyFont="1" applyAlignment="1">
      <alignment horizontal="left" vertical="center" wrapText="1"/>
    </xf>
    <xf numFmtId="0" fontId="0" fillId="0" borderId="0" xfId="0" applyAlignment="1">
      <alignment horizontal="center" vertical="center"/>
    </xf>
    <xf numFmtId="165" fontId="0" fillId="0" borderId="0" xfId="0" applyNumberFormat="1" applyAlignment="1">
      <alignment horizontal="center" vertical="center"/>
    </xf>
    <xf numFmtId="0" fontId="21" fillId="8" borderId="0" xfId="0" quotePrefix="1" applyFont="1" applyFill="1" applyProtection="1">
      <protection hidden="1"/>
    </xf>
    <xf numFmtId="0" fontId="62" fillId="8" borderId="0" xfId="5" applyFont="1" applyFill="1" applyBorder="1" applyAlignment="1" applyProtection="1">
      <alignment horizontal="right" vertical="center"/>
      <protection hidden="1"/>
    </xf>
    <xf numFmtId="0" fontId="63" fillId="8" borderId="0" xfId="0" applyFont="1" applyFill="1" applyAlignment="1" applyProtection="1">
      <alignment horizontal="center" vertical="center"/>
      <protection hidden="1"/>
    </xf>
    <xf numFmtId="0" fontId="61" fillId="2" borderId="1" xfId="2" applyFont="1" applyAlignment="1" applyProtection="1">
      <alignment horizontal="left" vertical="center"/>
      <protection locked="0"/>
    </xf>
    <xf numFmtId="0" fontId="40" fillId="8" borderId="64" xfId="5" applyFont="1" applyFill="1" applyBorder="1" applyAlignment="1" applyProtection="1">
      <alignment horizontal="left" vertical="center"/>
      <protection hidden="1"/>
    </xf>
    <xf numFmtId="1" fontId="55" fillId="2" borderId="64" xfId="2" applyNumberFormat="1" applyFont="1" applyBorder="1" applyAlignment="1" applyProtection="1">
      <alignment horizontal="center" vertical="center"/>
      <protection locked="0"/>
    </xf>
    <xf numFmtId="1" fontId="55" fillId="2" borderId="60" xfId="2" applyNumberFormat="1" applyFont="1" applyBorder="1" applyAlignment="1" applyProtection="1">
      <alignment horizontal="center" vertical="center"/>
      <protection locked="0"/>
    </xf>
    <xf numFmtId="1" fontId="55" fillId="2" borderId="61" xfId="2" applyNumberFormat="1" applyFont="1" applyBorder="1" applyAlignment="1" applyProtection="1">
      <alignment horizontal="center" vertical="center"/>
      <protection locked="0"/>
    </xf>
    <xf numFmtId="0" fontId="48" fillId="11" borderId="62" xfId="2" applyFont="1" applyFill="1" applyBorder="1" applyAlignment="1" applyProtection="1">
      <alignment horizontal="left" vertical="center"/>
      <protection locked="0"/>
    </xf>
    <xf numFmtId="0" fontId="48" fillId="11" borderId="63" xfId="2" applyFont="1" applyFill="1" applyBorder="1" applyAlignment="1" applyProtection="1">
      <alignment horizontal="left" vertical="center"/>
      <protection locked="0"/>
    </xf>
    <xf numFmtId="0" fontId="59" fillId="10" borderId="62" xfId="7" applyBorder="1" applyAlignment="1" applyProtection="1">
      <alignment horizontal="left" vertical="center"/>
      <protection hidden="1"/>
    </xf>
    <xf numFmtId="0" fontId="64" fillId="8" borderId="0" xfId="0" applyFont="1" applyFill="1" applyProtection="1">
      <protection hidden="1"/>
    </xf>
    <xf numFmtId="0" fontId="64" fillId="8" borderId="0" xfId="0" quotePrefix="1" applyFont="1" applyFill="1" applyProtection="1">
      <protection hidden="1"/>
    </xf>
    <xf numFmtId="0" fontId="27" fillId="8" borderId="0" xfId="0" applyFont="1" applyFill="1" applyProtection="1">
      <protection hidden="1"/>
    </xf>
    <xf numFmtId="0" fontId="11" fillId="8" borderId="0" xfId="6" applyFont="1" applyFill="1" applyProtection="1">
      <protection hidden="1"/>
    </xf>
    <xf numFmtId="0" fontId="64" fillId="8" borderId="0" xfId="0" applyFont="1" applyFill="1" applyAlignment="1" applyProtection="1">
      <alignment horizontal="left" vertical="center" indent="1"/>
      <protection hidden="1"/>
    </xf>
    <xf numFmtId="0" fontId="66" fillId="8" borderId="0" xfId="0" applyFont="1" applyFill="1" applyProtection="1">
      <protection hidden="1"/>
    </xf>
    <xf numFmtId="0" fontId="23" fillId="8" borderId="0" xfId="5" applyFont="1" applyFill="1" applyAlignment="1" applyProtection="1">
      <alignment horizontal="left"/>
      <protection hidden="1"/>
    </xf>
    <xf numFmtId="0" fontId="43" fillId="2" borderId="1" xfId="2" applyFont="1" applyAlignment="1" applyProtection="1">
      <alignment horizontal="left" vertical="center"/>
      <protection hidden="1"/>
    </xf>
    <xf numFmtId="0" fontId="43" fillId="2" borderId="1" xfId="2" applyFont="1" applyAlignment="1" applyProtection="1">
      <alignment horizontal="left" vertical="center" wrapText="1"/>
      <protection hidden="1"/>
    </xf>
    <xf numFmtId="0" fontId="21" fillId="8" borderId="0" xfId="0" applyFont="1" applyFill="1" applyAlignment="1" applyProtection="1">
      <alignment wrapText="1"/>
      <protection hidden="1"/>
    </xf>
    <xf numFmtId="0" fontId="69" fillId="8" borderId="0" xfId="0" applyFont="1" applyFill="1" applyProtection="1">
      <protection hidden="1"/>
    </xf>
    <xf numFmtId="0" fontId="19" fillId="8" borderId="0" xfId="0" applyFont="1" applyFill="1" applyProtection="1">
      <protection hidden="1"/>
    </xf>
    <xf numFmtId="0" fontId="63" fillId="8" borderId="0" xfId="0" applyFont="1" applyFill="1" applyProtection="1">
      <protection hidden="1"/>
    </xf>
    <xf numFmtId="0" fontId="63" fillId="8" borderId="0" xfId="0" quotePrefix="1" applyFont="1" applyFill="1" applyProtection="1">
      <protection hidden="1"/>
    </xf>
    <xf numFmtId="0" fontId="40" fillId="8" borderId="0" xfId="0" applyFont="1" applyFill="1" applyProtection="1">
      <protection hidden="1"/>
    </xf>
    <xf numFmtId="0" fontId="68" fillId="8" borderId="0" xfId="0" applyFont="1" applyFill="1" applyProtection="1">
      <protection hidden="1"/>
    </xf>
    <xf numFmtId="0" fontId="59" fillId="10" borderId="62" xfId="7" applyBorder="1" applyAlignment="1" applyProtection="1">
      <alignment horizontal="left" vertical="center" wrapText="1"/>
      <protection hidden="1"/>
    </xf>
    <xf numFmtId="0" fontId="76" fillId="9" borderId="0" xfId="0" applyFont="1" applyFill="1" applyProtection="1">
      <protection hidden="1"/>
    </xf>
    <xf numFmtId="0" fontId="45" fillId="8" borderId="0" xfId="0" applyFont="1" applyFill="1" applyAlignment="1" applyProtection="1">
      <alignment horizontal="right"/>
      <protection hidden="1"/>
    </xf>
    <xf numFmtId="0" fontId="55" fillId="3" borderId="0" xfId="0" applyFont="1" applyFill="1" applyProtection="1">
      <protection hidden="1"/>
    </xf>
    <xf numFmtId="0" fontId="63" fillId="8" borderId="0" xfId="0" applyFont="1" applyFill="1" applyAlignment="1" applyProtection="1">
      <alignment horizontal="right"/>
      <protection hidden="1"/>
    </xf>
    <xf numFmtId="0" fontId="70" fillId="8" borderId="0" xfId="0" applyFont="1" applyFill="1" applyAlignment="1" applyProtection="1">
      <alignment horizontal="left" indent="2"/>
      <protection hidden="1"/>
    </xf>
    <xf numFmtId="0" fontId="72" fillId="8" borderId="0" xfId="0" applyFont="1" applyFill="1" applyAlignment="1" applyProtection="1">
      <alignment horizontal="left" indent="2"/>
      <protection hidden="1"/>
    </xf>
    <xf numFmtId="0" fontId="63" fillId="8" borderId="0" xfId="0" applyFont="1" applyFill="1" applyAlignment="1" applyProtection="1">
      <alignment horizontal="left" indent="2"/>
      <protection hidden="1"/>
    </xf>
    <xf numFmtId="0" fontId="45" fillId="8" borderId="0" xfId="0" applyFont="1" applyFill="1" applyAlignment="1" applyProtection="1">
      <alignment horizontal="left" indent="2"/>
      <protection hidden="1"/>
    </xf>
    <xf numFmtId="0" fontId="40" fillId="8" borderId="0" xfId="0" applyFont="1" applyFill="1" applyAlignment="1" applyProtection="1">
      <alignment horizontal="left" indent="2"/>
      <protection hidden="1"/>
    </xf>
    <xf numFmtId="0" fontId="19" fillId="8" borderId="0" xfId="0" applyFont="1" applyFill="1" applyAlignment="1" applyProtection="1">
      <alignment horizontal="right"/>
      <protection hidden="1"/>
    </xf>
    <xf numFmtId="0" fontId="45" fillId="9" borderId="0" xfId="0" applyFont="1" applyFill="1" applyAlignment="1" applyProtection="1">
      <alignment horizontal="center"/>
      <protection hidden="1"/>
    </xf>
    <xf numFmtId="0" fontId="63" fillId="9" borderId="0" xfId="0" quotePrefix="1" applyFont="1" applyFill="1" applyProtection="1">
      <protection hidden="1"/>
    </xf>
    <xf numFmtId="0" fontId="63" fillId="3" borderId="0" xfId="0" applyFont="1" applyFill="1" applyProtection="1">
      <protection hidden="1"/>
    </xf>
    <xf numFmtId="0" fontId="48" fillId="3" borderId="0" xfId="0" applyFont="1" applyFill="1" applyAlignment="1" applyProtection="1">
      <alignment horizontal="right"/>
      <protection hidden="1"/>
    </xf>
    <xf numFmtId="0" fontId="48" fillId="3" borderId="0" xfId="0" applyFont="1" applyFill="1" applyAlignment="1" applyProtection="1">
      <alignment horizontal="left" indent="2"/>
      <protection hidden="1"/>
    </xf>
    <xf numFmtId="0" fontId="17" fillId="3" borderId="0" xfId="0" applyFont="1" applyFill="1" applyAlignment="1" applyProtection="1">
      <alignment horizontal="right"/>
      <protection hidden="1"/>
    </xf>
    <xf numFmtId="0" fontId="79" fillId="0" borderId="1" xfId="2" applyFont="1" applyFill="1" applyAlignment="1" applyProtection="1">
      <alignment horizontal="center"/>
      <protection hidden="1"/>
    </xf>
    <xf numFmtId="0" fontId="79" fillId="2" borderId="1" xfId="2" applyFont="1" applyAlignment="1" applyProtection="1">
      <alignment horizontal="center"/>
      <protection hidden="1"/>
    </xf>
    <xf numFmtId="165" fontId="26" fillId="2" borderId="69" xfId="2" applyNumberFormat="1" applyFont="1" applyBorder="1" applyAlignment="1" applyProtection="1">
      <alignment horizontal="center"/>
      <protection locked="0"/>
    </xf>
    <xf numFmtId="165" fontId="26" fillId="0" borderId="22" xfId="2" applyNumberFormat="1" applyFont="1" applyFill="1" applyBorder="1" applyAlignment="1" applyProtection="1">
      <alignment horizontal="center"/>
      <protection hidden="1"/>
    </xf>
    <xf numFmtId="0" fontId="80" fillId="3" borderId="0" xfId="0" applyFont="1" applyFill="1"/>
    <xf numFmtId="0" fontId="81" fillId="8" borderId="0" xfId="0" applyFont="1" applyFill="1" applyProtection="1">
      <protection hidden="1"/>
    </xf>
    <xf numFmtId="0" fontId="0" fillId="8" borderId="0" xfId="0" applyFill="1" applyAlignment="1">
      <alignment horizontal="center" vertical="center"/>
    </xf>
    <xf numFmtId="0" fontId="21" fillId="8" borderId="0" xfId="0" applyFont="1" applyFill="1" applyAlignment="1" applyProtection="1">
      <alignment vertical="top"/>
      <protection hidden="1"/>
    </xf>
    <xf numFmtId="0" fontId="21" fillId="8" borderId="0" xfId="0" applyFont="1" applyFill="1" applyAlignment="1" applyProtection="1">
      <alignment horizontal="left" vertical="top"/>
      <protection hidden="1"/>
    </xf>
    <xf numFmtId="0" fontId="20" fillId="8" borderId="0" xfId="5" applyFont="1" applyFill="1" applyAlignment="1" applyProtection="1">
      <alignment vertical="top"/>
      <protection hidden="1"/>
    </xf>
    <xf numFmtId="0" fontId="17" fillId="8" borderId="0" xfId="0" applyFont="1" applyFill="1" applyAlignment="1" applyProtection="1">
      <alignment vertical="top"/>
      <protection hidden="1"/>
    </xf>
    <xf numFmtId="0" fontId="19" fillId="9" borderId="0" xfId="0" applyFont="1" applyFill="1" applyAlignment="1" applyProtection="1">
      <alignment vertical="top"/>
      <protection hidden="1"/>
    </xf>
    <xf numFmtId="0" fontId="19" fillId="8" borderId="0" xfId="0" applyFont="1" applyFill="1" applyAlignment="1" applyProtection="1">
      <alignment vertical="top"/>
      <protection hidden="1"/>
    </xf>
    <xf numFmtId="0" fontId="45" fillId="8" borderId="0" xfId="0" applyFont="1" applyFill="1" applyAlignment="1" applyProtection="1">
      <alignment horizontal="right" vertical="top"/>
      <protection hidden="1"/>
    </xf>
    <xf numFmtId="0" fontId="63" fillId="8" borderId="0" xfId="0" quotePrefix="1" applyFont="1" applyFill="1" applyAlignment="1" applyProtection="1">
      <alignment vertical="top"/>
      <protection hidden="1"/>
    </xf>
    <xf numFmtId="0" fontId="17" fillId="6" borderId="0" xfId="0" applyFont="1" applyFill="1" applyAlignment="1" applyProtection="1">
      <alignment vertical="top"/>
      <protection hidden="1"/>
    </xf>
    <xf numFmtId="0" fontId="33" fillId="3" borderId="28" xfId="2" applyFont="1" applyFill="1" applyBorder="1" applyAlignment="1" applyProtection="1">
      <alignment horizontal="center" vertical="top"/>
      <protection locked="0"/>
    </xf>
    <xf numFmtId="0" fontId="33" fillId="3" borderId="1" xfId="2" applyFont="1" applyFill="1" applyAlignment="1" applyProtection="1">
      <alignment horizontal="center" vertical="top"/>
      <protection locked="0"/>
    </xf>
    <xf numFmtId="0" fontId="33" fillId="3" borderId="1" xfId="2" applyFont="1" applyFill="1" applyAlignment="1" applyProtection="1">
      <alignment horizontal="center" vertical="top"/>
      <protection hidden="1"/>
    </xf>
    <xf numFmtId="0" fontId="33" fillId="3" borderId="29" xfId="2" applyFont="1" applyFill="1" applyBorder="1" applyAlignment="1" applyProtection="1">
      <alignment horizontal="center" vertical="top"/>
      <protection locked="0"/>
    </xf>
    <xf numFmtId="0" fontId="17" fillId="9" borderId="0" xfId="0" applyFont="1" applyFill="1" applyAlignment="1" applyProtection="1">
      <alignment vertical="top"/>
      <protection hidden="1"/>
    </xf>
    <xf numFmtId="0" fontId="26" fillId="6" borderId="0" xfId="0" applyFont="1" applyFill="1" applyProtection="1">
      <protection hidden="1"/>
    </xf>
    <xf numFmtId="0" fontId="25" fillId="6" borderId="0" xfId="0" applyFont="1" applyFill="1" applyProtection="1">
      <protection hidden="1"/>
    </xf>
    <xf numFmtId="0" fontId="14" fillId="6" borderId="0" xfId="0" applyFont="1" applyFill="1"/>
    <xf numFmtId="0" fontId="84" fillId="3" borderId="0" xfId="0" applyFont="1" applyFill="1" applyAlignment="1" applyProtection="1">
      <alignment horizontal="left" indent="2"/>
      <protection hidden="1"/>
    </xf>
    <xf numFmtId="0" fontId="82" fillId="6" borderId="0" xfId="0" applyFont="1" applyFill="1" applyAlignment="1" applyProtection="1">
      <alignment horizontal="left" indent="3"/>
      <protection hidden="1"/>
    </xf>
    <xf numFmtId="0" fontId="55" fillId="3" borderId="0" xfId="0" applyFont="1" applyFill="1" applyAlignment="1" applyProtection="1">
      <alignment horizontal="left" indent="4"/>
      <protection hidden="1"/>
    </xf>
    <xf numFmtId="0" fontId="55" fillId="3" borderId="0" xfId="0" applyFont="1" applyFill="1" applyAlignment="1" applyProtection="1">
      <alignment horizontal="left" indent="5"/>
      <protection hidden="1"/>
    </xf>
    <xf numFmtId="0" fontId="17" fillId="3" borderId="0" xfId="0" applyFont="1" applyFill="1" applyAlignment="1" applyProtection="1">
      <alignment horizontal="left" indent="2"/>
      <protection hidden="1"/>
    </xf>
    <xf numFmtId="0" fontId="63" fillId="3" borderId="0" xfId="0" applyFont="1" applyFill="1" applyAlignment="1" applyProtection="1">
      <alignment horizontal="left" indent="2"/>
      <protection hidden="1"/>
    </xf>
    <xf numFmtId="0" fontId="85" fillId="0" borderId="68" xfId="0" applyFont="1" applyBorder="1" applyAlignment="1" applyProtection="1">
      <alignment horizontal="center" vertical="center" wrapText="1"/>
      <protection hidden="1"/>
    </xf>
    <xf numFmtId="0" fontId="85" fillId="0" borderId="67" xfId="0" applyFont="1" applyBorder="1" applyAlignment="1" applyProtection="1">
      <alignment horizontal="center" vertical="center" wrapText="1"/>
      <protection hidden="1"/>
    </xf>
    <xf numFmtId="0" fontId="67" fillId="3" borderId="0" xfId="0" applyFont="1" applyFill="1" applyAlignment="1">
      <alignment horizontal="left" vertical="top" wrapText="1"/>
    </xf>
    <xf numFmtId="0" fontId="26" fillId="9" borderId="0" xfId="5" applyFont="1" applyFill="1" applyProtection="1">
      <protection hidden="1"/>
    </xf>
    <xf numFmtId="0" fontId="0" fillId="0" borderId="0" xfId="0" applyAlignment="1">
      <alignment horizontal="center"/>
    </xf>
    <xf numFmtId="0" fontId="43" fillId="2" borderId="1" xfId="2" applyFont="1" applyAlignment="1" applyProtection="1">
      <alignment horizontal="center"/>
      <protection locked="0" hidden="1"/>
    </xf>
    <xf numFmtId="0" fontId="43" fillId="2" borderId="1" xfId="2" applyFont="1" applyAlignment="1" applyProtection="1">
      <alignment horizontal="center" vertical="center" wrapText="1"/>
      <protection locked="0" hidden="1"/>
    </xf>
    <xf numFmtId="0" fontId="34" fillId="0" borderId="0" xfId="0" applyFont="1" applyAlignment="1">
      <alignment horizontal="center"/>
    </xf>
    <xf numFmtId="167" fontId="0" fillId="0" borderId="0" xfId="0" applyNumberFormat="1" applyAlignment="1">
      <alignment horizontal="center" vertical="center"/>
    </xf>
    <xf numFmtId="0" fontId="39" fillId="8" borderId="10" xfId="0" applyFont="1" applyFill="1" applyBorder="1" applyAlignment="1">
      <alignment horizontal="center" vertical="center" wrapText="1"/>
    </xf>
    <xf numFmtId="0" fontId="39" fillId="8" borderId="45" xfId="0" applyFont="1" applyFill="1" applyBorder="1" applyAlignment="1">
      <alignment horizontal="center" vertical="center" wrapText="1"/>
    </xf>
    <xf numFmtId="165" fontId="14" fillId="0" borderId="42" xfId="0" applyNumberFormat="1" applyFont="1" applyBorder="1" applyAlignment="1">
      <alignment horizontal="left" vertical="center" wrapText="1"/>
    </xf>
    <xf numFmtId="165" fontId="14" fillId="0" borderId="33" xfId="0" applyNumberFormat="1" applyFont="1" applyBorder="1" applyAlignment="1">
      <alignment horizontal="left" vertical="center" wrapText="1"/>
    </xf>
    <xf numFmtId="165" fontId="14" fillId="0" borderId="35" xfId="0" applyNumberFormat="1" applyFont="1" applyBorder="1" applyAlignment="1">
      <alignment horizontal="left" vertical="center" wrapText="1"/>
    </xf>
    <xf numFmtId="165" fontId="14" fillId="0" borderId="46" xfId="0" applyNumberFormat="1" applyFont="1" applyBorder="1" applyAlignment="1">
      <alignment horizontal="left" vertical="center" wrapText="1"/>
    </xf>
    <xf numFmtId="0" fontId="35" fillId="6" borderId="0" xfId="0" applyFont="1" applyFill="1" applyAlignment="1" applyProtection="1">
      <alignment horizontal="left" wrapText="1"/>
      <protection hidden="1"/>
    </xf>
    <xf numFmtId="0" fontId="39" fillId="8" borderId="9" xfId="0" applyFont="1" applyFill="1" applyBorder="1" applyAlignment="1">
      <alignment horizontal="center" vertical="center"/>
    </xf>
    <xf numFmtId="0" fontId="39" fillId="8" borderId="10" xfId="0" applyFont="1" applyFill="1" applyBorder="1" applyAlignment="1">
      <alignment horizontal="center" vertical="center"/>
    </xf>
    <xf numFmtId="165" fontId="38" fillId="0" borderId="40" xfId="0" applyNumberFormat="1" applyFont="1" applyBorder="1" applyAlignment="1">
      <alignment horizontal="center" vertical="center" wrapText="1"/>
    </xf>
    <xf numFmtId="165" fontId="38" fillId="0" borderId="41" xfId="0" applyNumberFormat="1" applyFont="1" applyBorder="1" applyAlignment="1">
      <alignment horizontal="center" vertical="center" wrapText="1"/>
    </xf>
    <xf numFmtId="165" fontId="38" fillId="0" borderId="37" xfId="0" applyNumberFormat="1" applyFont="1" applyBorder="1" applyAlignment="1">
      <alignment horizontal="center" vertical="center" wrapText="1"/>
    </xf>
    <xf numFmtId="165" fontId="38" fillId="0" borderId="36" xfId="0" applyNumberFormat="1" applyFont="1" applyBorder="1" applyAlignment="1">
      <alignment horizontal="center" vertical="center" wrapText="1"/>
    </xf>
    <xf numFmtId="0" fontId="32" fillId="7" borderId="24" xfId="5" applyFont="1" applyBorder="1" applyAlignment="1" applyProtection="1">
      <alignment horizontal="center" vertical="center" wrapText="1"/>
      <protection hidden="1"/>
    </xf>
    <xf numFmtId="0" fontId="32" fillId="7" borderId="0" xfId="5" applyFont="1" applyBorder="1" applyAlignment="1" applyProtection="1">
      <alignment horizontal="center" vertical="center" wrapText="1"/>
      <protection hidden="1"/>
    </xf>
    <xf numFmtId="0" fontId="32" fillId="7" borderId="23" xfId="5" applyFont="1" applyBorder="1" applyAlignment="1" applyProtection="1">
      <alignment horizontal="center" vertical="center" wrapText="1"/>
      <protection hidden="1"/>
    </xf>
    <xf numFmtId="0" fontId="32" fillId="7" borderId="26" xfId="5" applyFont="1" applyBorder="1" applyAlignment="1" applyProtection="1">
      <alignment horizontal="center" vertical="center" wrapText="1"/>
      <protection hidden="1"/>
    </xf>
    <xf numFmtId="0" fontId="32" fillId="7" borderId="25" xfId="5" applyFont="1" applyBorder="1" applyAlignment="1" applyProtection="1">
      <alignment horizontal="center" vertical="center" wrapText="1"/>
      <protection hidden="1"/>
    </xf>
    <xf numFmtId="0" fontId="32" fillId="7" borderId="27" xfId="5" applyFont="1" applyBorder="1" applyAlignment="1" applyProtection="1">
      <alignment horizontal="center" vertical="center" wrapText="1"/>
      <protection hidden="1"/>
    </xf>
    <xf numFmtId="165" fontId="38" fillId="0" borderId="43" xfId="0" applyNumberFormat="1" applyFont="1" applyBorder="1" applyAlignment="1">
      <alignment horizontal="center" vertical="center" wrapText="1"/>
    </xf>
    <xf numFmtId="165" fontId="38" fillId="0" borderId="44" xfId="0" applyNumberFormat="1" applyFont="1" applyBorder="1" applyAlignment="1">
      <alignment horizontal="center" vertical="center" wrapText="1"/>
    </xf>
    <xf numFmtId="0" fontId="34" fillId="3" borderId="8" xfId="0" applyFont="1" applyFill="1" applyBorder="1" applyAlignment="1" applyProtection="1">
      <alignment horizontal="right"/>
      <protection hidden="1"/>
    </xf>
    <xf numFmtId="0" fontId="34" fillId="3" borderId="0" xfId="0" applyFont="1" applyFill="1" applyAlignment="1" applyProtection="1">
      <alignment horizontal="right"/>
      <protection hidden="1"/>
    </xf>
    <xf numFmtId="0" fontId="34" fillId="3" borderId="8" xfId="0" applyFont="1" applyFill="1" applyBorder="1" applyAlignment="1" applyProtection="1">
      <alignment horizontal="right" vertical="center"/>
      <protection hidden="1"/>
    </xf>
    <xf numFmtId="0" fontId="34" fillId="3" borderId="0" xfId="0" applyFont="1" applyFill="1" applyAlignment="1" applyProtection="1">
      <alignment horizontal="right" vertical="center"/>
      <protection hidden="1"/>
    </xf>
    <xf numFmtId="0" fontId="17" fillId="3" borderId="13" xfId="0" applyFont="1" applyFill="1" applyBorder="1" applyProtection="1">
      <protection hidden="1"/>
    </xf>
    <xf numFmtId="0" fontId="17" fillId="3" borderId="14" xfId="0" applyFont="1" applyFill="1" applyBorder="1" applyProtection="1">
      <protection hidden="1"/>
    </xf>
    <xf numFmtId="0" fontId="17" fillId="3" borderId="48" xfId="0" applyFont="1" applyFill="1" applyBorder="1" applyAlignment="1" applyProtection="1">
      <alignment horizontal="left" vertical="center" wrapText="1"/>
      <protection hidden="1"/>
    </xf>
    <xf numFmtId="0" fontId="17" fillId="3" borderId="49" xfId="0" applyFont="1" applyFill="1" applyBorder="1" applyAlignment="1" applyProtection="1">
      <alignment horizontal="left" vertical="center"/>
      <protection hidden="1"/>
    </xf>
    <xf numFmtId="0" fontId="17" fillId="3" borderId="50" xfId="0" applyFont="1" applyFill="1" applyBorder="1" applyAlignment="1" applyProtection="1">
      <alignment horizontal="left" vertical="center"/>
      <protection hidden="1"/>
    </xf>
    <xf numFmtId="0" fontId="17" fillId="3" borderId="51" xfId="0" applyFont="1" applyFill="1" applyBorder="1" applyAlignment="1" applyProtection="1">
      <alignment horizontal="left" vertical="center"/>
      <protection hidden="1"/>
    </xf>
    <xf numFmtId="0" fontId="17" fillId="3" borderId="0" xfId="0" applyFont="1" applyFill="1" applyAlignment="1" applyProtection="1">
      <alignment horizontal="left" vertical="center"/>
      <protection hidden="1"/>
    </xf>
    <xf numFmtId="0" fontId="17" fillId="3" borderId="52" xfId="0" applyFont="1" applyFill="1" applyBorder="1" applyAlignment="1" applyProtection="1">
      <alignment horizontal="left" vertical="center"/>
      <protection hidden="1"/>
    </xf>
    <xf numFmtId="0" fontId="17" fillId="3" borderId="53" xfId="0" applyFont="1" applyFill="1" applyBorder="1" applyAlignment="1" applyProtection="1">
      <alignment horizontal="left" vertical="center"/>
      <protection hidden="1"/>
    </xf>
    <xf numFmtId="0" fontId="17" fillId="3" borderId="54" xfId="0" applyFont="1" applyFill="1" applyBorder="1" applyAlignment="1" applyProtection="1">
      <alignment horizontal="left" vertical="center"/>
      <protection hidden="1"/>
    </xf>
    <xf numFmtId="0" fontId="17" fillId="3" borderId="55" xfId="0" applyFont="1" applyFill="1" applyBorder="1" applyAlignment="1" applyProtection="1">
      <alignment horizontal="left" vertical="center"/>
      <protection hidden="1"/>
    </xf>
    <xf numFmtId="165" fontId="14" fillId="0" borderId="44" xfId="0" applyNumberFormat="1" applyFont="1" applyBorder="1" applyAlignment="1">
      <alignment horizontal="left" vertical="center" wrapText="1"/>
    </xf>
    <xf numFmtId="165" fontId="14" fillId="0" borderId="47" xfId="0" applyNumberFormat="1" applyFont="1" applyBorder="1" applyAlignment="1">
      <alignment horizontal="left" vertical="center" wrapText="1"/>
    </xf>
    <xf numFmtId="0" fontId="17" fillId="3" borderId="9" xfId="0" applyFont="1" applyFill="1" applyBorder="1" applyProtection="1">
      <protection hidden="1"/>
    </xf>
    <xf numFmtId="0" fontId="17" fillId="3" borderId="10" xfId="0" applyFont="1" applyFill="1" applyBorder="1" applyProtection="1">
      <protection hidden="1"/>
    </xf>
    <xf numFmtId="0" fontId="17" fillId="3" borderId="8" xfId="0" applyFont="1" applyFill="1" applyBorder="1" applyProtection="1">
      <protection hidden="1"/>
    </xf>
    <xf numFmtId="0" fontId="17" fillId="3" borderId="0" xfId="0" applyFont="1" applyFill="1" applyProtection="1">
      <protection hidden="1"/>
    </xf>
    <xf numFmtId="166" fontId="43" fillId="3" borderId="0" xfId="0" applyNumberFormat="1" applyFont="1" applyFill="1" applyAlignment="1" applyProtection="1">
      <alignment horizontal="left"/>
      <protection hidden="1"/>
    </xf>
    <xf numFmtId="0" fontId="42" fillId="3" borderId="3" xfId="0" applyFont="1" applyFill="1" applyBorder="1" applyAlignment="1" applyProtection="1">
      <alignment horizontal="center" vertical="center"/>
      <protection hidden="1"/>
    </xf>
    <xf numFmtId="0" fontId="42" fillId="3" borderId="4" xfId="0" applyFont="1" applyFill="1" applyBorder="1" applyAlignment="1" applyProtection="1">
      <alignment horizontal="center" vertical="center"/>
      <protection hidden="1"/>
    </xf>
    <xf numFmtId="0" fontId="42" fillId="3" borderId="5" xfId="0" applyFont="1" applyFill="1" applyBorder="1" applyAlignment="1" applyProtection="1">
      <alignment horizontal="center" vertical="center"/>
      <protection hidden="1"/>
    </xf>
    <xf numFmtId="0" fontId="19" fillId="3" borderId="0" xfId="0" applyFont="1" applyFill="1" applyAlignment="1" applyProtection="1">
      <alignment horizontal="center"/>
      <protection hidden="1"/>
    </xf>
    <xf numFmtId="0" fontId="88" fillId="3" borderId="65" xfId="0" applyFont="1" applyFill="1" applyBorder="1" applyAlignment="1" applyProtection="1">
      <alignment horizontal="center" vertical="center" textRotation="90" wrapText="1"/>
      <protection hidden="1"/>
    </xf>
    <xf numFmtId="0" fontId="88" fillId="3" borderId="33" xfId="0" applyFont="1" applyFill="1" applyBorder="1" applyAlignment="1" applyProtection="1">
      <alignment horizontal="center" vertical="center" textRotation="90" wrapText="1"/>
      <protection hidden="1"/>
    </xf>
    <xf numFmtId="0" fontId="88" fillId="3" borderId="58" xfId="0" applyFont="1" applyFill="1" applyBorder="1" applyAlignment="1" applyProtection="1">
      <alignment horizontal="center" vertical="center" textRotation="90" wrapText="1"/>
      <protection hidden="1"/>
    </xf>
    <xf numFmtId="0" fontId="88" fillId="3" borderId="62" xfId="0" applyFont="1" applyFill="1" applyBorder="1" applyAlignment="1" applyProtection="1">
      <alignment horizontal="center" vertical="center" textRotation="90" wrapText="1"/>
      <protection hidden="1"/>
    </xf>
    <xf numFmtId="0" fontId="88" fillId="3" borderId="59" xfId="0" applyFont="1" applyFill="1" applyBorder="1" applyAlignment="1" applyProtection="1">
      <alignment horizontal="center" vertical="center" textRotation="90" wrapText="1"/>
      <protection hidden="1"/>
    </xf>
    <xf numFmtId="0" fontId="88" fillId="3" borderId="63" xfId="0" applyFont="1" applyFill="1" applyBorder="1" applyAlignment="1" applyProtection="1">
      <alignment horizontal="center" vertical="center" textRotation="90" wrapText="1"/>
      <protection hidden="1"/>
    </xf>
    <xf numFmtId="0" fontId="89" fillId="6" borderId="65" xfId="0" applyFont="1" applyFill="1" applyBorder="1" applyAlignment="1" applyProtection="1">
      <alignment horizontal="center" vertical="center" wrapText="1"/>
      <protection hidden="1"/>
    </xf>
    <xf numFmtId="0" fontId="89" fillId="6" borderId="42" xfId="0" applyFont="1" applyFill="1" applyBorder="1" applyAlignment="1" applyProtection="1">
      <alignment horizontal="center" vertical="center" wrapText="1"/>
      <protection hidden="1"/>
    </xf>
    <xf numFmtId="0" fontId="89" fillId="6" borderId="33" xfId="0" applyFont="1" applyFill="1" applyBorder="1" applyAlignment="1" applyProtection="1">
      <alignment horizontal="center" vertical="center" wrapText="1"/>
      <protection hidden="1"/>
    </xf>
    <xf numFmtId="0" fontId="89" fillId="6" borderId="58" xfId="0" applyFont="1" applyFill="1" applyBorder="1" applyAlignment="1" applyProtection="1">
      <alignment horizontal="center" vertical="center" wrapText="1"/>
      <protection hidden="1"/>
    </xf>
    <xf numFmtId="0" fontId="89" fillId="6" borderId="0" xfId="0" applyFont="1" applyFill="1" applyAlignment="1" applyProtection="1">
      <alignment horizontal="center" vertical="center" wrapText="1"/>
      <protection hidden="1"/>
    </xf>
    <xf numFmtId="0" fontId="89" fillId="6" borderId="62" xfId="0" applyFont="1" applyFill="1" applyBorder="1" applyAlignment="1" applyProtection="1">
      <alignment horizontal="center" vertical="center" wrapText="1"/>
      <protection hidden="1"/>
    </xf>
    <xf numFmtId="0" fontId="89" fillId="6" borderId="59" xfId="0" applyFont="1" applyFill="1" applyBorder="1" applyAlignment="1" applyProtection="1">
      <alignment horizontal="center" vertical="center" wrapText="1"/>
      <protection hidden="1"/>
    </xf>
    <xf numFmtId="0" fontId="89" fillId="6" borderId="66" xfId="0" applyFont="1" applyFill="1" applyBorder="1" applyAlignment="1" applyProtection="1">
      <alignment horizontal="center" vertical="center" wrapText="1"/>
      <protection hidden="1"/>
    </xf>
    <xf numFmtId="0" fontId="89" fillId="6" borderId="63" xfId="0" applyFont="1" applyFill="1" applyBorder="1" applyAlignment="1" applyProtection="1">
      <alignment horizontal="center" vertical="center" wrapText="1"/>
      <protection hidden="1"/>
    </xf>
    <xf numFmtId="0" fontId="87" fillId="3" borderId="0" xfId="0" applyFont="1" applyFill="1" applyAlignment="1">
      <alignment horizontal="center"/>
    </xf>
    <xf numFmtId="0" fontId="45" fillId="8" borderId="16" xfId="2" applyFont="1" applyFill="1" applyBorder="1" applyAlignment="1" applyProtection="1">
      <alignment horizontal="center" vertical="center"/>
      <protection hidden="1"/>
    </xf>
    <xf numFmtId="0" fontId="45" fillId="8" borderId="17" xfId="2" applyFont="1" applyFill="1" applyBorder="1" applyAlignment="1" applyProtection="1">
      <alignment horizontal="center" vertical="center"/>
      <protection hidden="1"/>
    </xf>
    <xf numFmtId="0" fontId="41" fillId="3" borderId="3" xfId="0" applyFont="1" applyFill="1" applyBorder="1" applyAlignment="1" applyProtection="1">
      <alignment horizontal="center" vertical="center"/>
      <protection hidden="1"/>
    </xf>
    <xf numFmtId="0" fontId="41" fillId="3" borderId="4" xfId="0" applyFont="1" applyFill="1" applyBorder="1" applyAlignment="1" applyProtection="1">
      <alignment horizontal="center" vertical="center"/>
      <protection hidden="1"/>
    </xf>
    <xf numFmtId="0" fontId="41" fillId="3" borderId="5" xfId="0" applyFont="1" applyFill="1" applyBorder="1" applyAlignment="1" applyProtection="1">
      <alignment horizontal="center" vertical="center"/>
      <protection hidden="1"/>
    </xf>
    <xf numFmtId="0" fontId="41" fillId="3" borderId="19" xfId="0" applyFont="1" applyFill="1" applyBorder="1" applyAlignment="1" applyProtection="1">
      <alignment horizontal="center" vertical="center"/>
      <protection hidden="1"/>
    </xf>
    <xf numFmtId="0" fontId="41" fillId="3" borderId="20" xfId="0" applyFont="1" applyFill="1" applyBorder="1" applyAlignment="1" applyProtection="1">
      <alignment horizontal="center" vertical="center"/>
      <protection hidden="1"/>
    </xf>
    <xf numFmtId="0" fontId="41" fillId="3" borderId="21" xfId="0" applyFont="1" applyFill="1" applyBorder="1" applyAlignment="1" applyProtection="1">
      <alignment horizontal="center" vertical="center"/>
      <protection hidden="1"/>
    </xf>
    <xf numFmtId="0" fontId="45" fillId="8" borderId="18" xfId="2" applyFont="1" applyFill="1" applyBorder="1" applyAlignment="1" applyProtection="1">
      <alignment horizontal="center" vertical="center"/>
      <protection hidden="1"/>
    </xf>
    <xf numFmtId="166" fontId="2" fillId="3" borderId="0" xfId="0" applyNumberFormat="1" applyFont="1" applyFill="1" applyAlignment="1" applyProtection="1">
      <alignment horizontal="left"/>
      <protection hidden="1"/>
    </xf>
    <xf numFmtId="0" fontId="15" fillId="3" borderId="3" xfId="0" applyFont="1" applyFill="1" applyBorder="1" applyAlignment="1" applyProtection="1">
      <alignment horizontal="center" vertical="center"/>
      <protection hidden="1"/>
    </xf>
    <xf numFmtId="0" fontId="15" fillId="3" borderId="4" xfId="0" applyFont="1" applyFill="1" applyBorder="1" applyAlignment="1" applyProtection="1">
      <alignment horizontal="center" vertical="center"/>
      <protection hidden="1"/>
    </xf>
    <xf numFmtId="0" fontId="15" fillId="3" borderId="5" xfId="0" applyFont="1" applyFill="1" applyBorder="1" applyAlignment="1" applyProtection="1">
      <alignment horizontal="center" vertical="center"/>
      <protection hidden="1"/>
    </xf>
    <xf numFmtId="0" fontId="6" fillId="8" borderId="22" xfId="2" applyFont="1" applyFill="1" applyBorder="1" applyAlignment="1" applyProtection="1">
      <alignment horizontal="center" vertical="center"/>
      <protection hidden="1"/>
    </xf>
    <xf numFmtId="0" fontId="6" fillId="8" borderId="0" xfId="2" applyFont="1" applyFill="1" applyBorder="1" applyAlignment="1" applyProtection="1">
      <alignment horizontal="center" vertical="center"/>
      <protection hidden="1"/>
    </xf>
  </cellXfs>
  <cellStyles count="8">
    <cellStyle name="Accent1" xfId="5" builtinId="29"/>
    <cellStyle name="Explanatory Text" xfId="4" builtinId="53"/>
    <cellStyle name="Good" xfId="7" builtinId="26"/>
    <cellStyle name="Hyperlink" xfId="6" builtinId="8"/>
    <cellStyle name="Normal" xfId="0" builtinId="0"/>
    <cellStyle name="Normal 2" xfId="3" xr:uid="{27AD7C9A-CCFD-4FFE-8554-88EB456D2C1F}"/>
    <cellStyle name="Note" xfId="2" builtinId="10"/>
    <cellStyle name="Percent" xfId="1" builtinId="5"/>
  </cellStyles>
  <dxfs count="211">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rgb="FFC00000"/>
      </font>
      <fill>
        <patternFill>
          <bgColor theme="5" tint="0.79998168889431442"/>
        </patternFill>
      </fill>
      <border>
        <left style="thin">
          <color rgb="FFC00000"/>
        </left>
        <right style="thin">
          <color rgb="FFC00000"/>
        </right>
        <top style="thin">
          <color rgb="FFC00000"/>
        </top>
        <bottom style="thin">
          <color rgb="FFC00000"/>
        </bottom>
        <vertical/>
        <horizontal/>
      </border>
    </dxf>
    <dxf>
      <fill>
        <patternFill patternType="mediumGray"/>
      </fill>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theme="0"/>
        </patternFill>
      </fill>
    </dxf>
    <dxf>
      <font>
        <b/>
        <i val="0"/>
        <color rgb="FFC00000"/>
      </font>
      <fill>
        <patternFill>
          <bgColor theme="5" tint="0.79998168889431442"/>
        </patternFill>
      </fill>
      <border>
        <left style="thin">
          <color rgb="FFC00000"/>
        </left>
        <right style="thin">
          <color rgb="FFC00000"/>
        </right>
        <top style="thin">
          <color rgb="FFC00000"/>
        </top>
        <bottom style="thin">
          <color rgb="FFC00000"/>
        </bottom>
        <vertical/>
        <horizontal/>
      </border>
    </dxf>
    <dxf>
      <fill>
        <patternFill patternType="solid">
          <bgColor rgb="FF151B25"/>
        </patternFill>
      </fill>
    </dxf>
    <dxf>
      <fill>
        <patternFill patternType="solid">
          <bgColor rgb="FF151B25"/>
        </patternFill>
      </fill>
    </dxf>
    <dxf>
      <fill>
        <patternFill patternType="solid">
          <bgColor rgb="FF151B25"/>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7" formatCode="0.0000"/>
    </dxf>
    <dxf>
      <numFmt numFmtId="165" formatCode="0.000"/>
    </dxf>
    <dxf>
      <numFmt numFmtId="165" formatCode="0.000"/>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font>
        <b/>
      </font>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ont>
        <strike val="0"/>
        <outline val="0"/>
        <shadow val="0"/>
        <u val="none"/>
        <vertAlign val="baseline"/>
        <sz val="8"/>
        <color theme="1"/>
        <name val="Calibri"/>
        <family val="2"/>
        <scheme val="major"/>
      </font>
      <protection locked="0" hidden="0"/>
    </dxf>
    <dxf>
      <font>
        <strike val="0"/>
        <outline val="0"/>
        <shadow val="0"/>
        <u val="none"/>
        <vertAlign val="baseline"/>
        <sz val="8"/>
        <color theme="1"/>
        <name val="Calibri"/>
        <family val="2"/>
        <scheme val="major"/>
      </font>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8"/>
        <color theme="1"/>
        <name val="Calibri"/>
        <family val="2"/>
        <scheme val="major"/>
      </font>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8"/>
        <color theme="1"/>
        <name val="Calibri"/>
        <family val="2"/>
        <scheme val="major"/>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8"/>
        <color theme="1"/>
        <name val="Calibri"/>
        <family val="2"/>
        <scheme val="major"/>
      </font>
      <fill>
        <patternFill patternType="none">
          <fgColor indexed="64"/>
          <bgColor indexed="65"/>
        </patternFill>
      </fill>
      <alignment horizontal="left" vertical="center" textRotation="0" wrapText="0" indent="0" justifyLastLine="0" shrinkToFit="0" readingOrder="0"/>
      <protection locked="0" hidden="0"/>
    </dxf>
    <dxf>
      <font>
        <strike val="0"/>
        <outline val="0"/>
        <shadow val="0"/>
        <u val="none"/>
        <vertAlign val="baseline"/>
        <sz val="8"/>
        <color theme="1"/>
        <name val="Calibri"/>
        <family val="2"/>
        <scheme val="maj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9"/>
        <name val="Consolas"/>
        <family val="3"/>
        <scheme val="none"/>
      </font>
      <fill>
        <patternFill>
          <fgColor indexed="64"/>
          <bgColor rgb="FF151B25"/>
        </patternFill>
      </fill>
      <alignment horizontal="center" vertical="center" textRotation="0" wrapText="0" indent="0" justifyLastLine="0" shrinkToFit="0" readingOrder="0"/>
      <protection locked="1" hidden="1"/>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numFmt numFmtId="165" formatCode="0.000"/>
      <alignment horizontal="center" vertical="bottom" textRotation="0" wrapText="0" indent="0" justifyLastLine="0" shrinkToFit="0" readingOrder="0"/>
      <border outline="0">
        <left style="thin">
          <color rgb="FFB2B2B2"/>
        </left>
      </border>
      <protection locked="0" hidden="0"/>
    </dxf>
    <dxf>
      <font>
        <b val="0"/>
        <i val="0"/>
        <strike val="0"/>
        <condense val="0"/>
        <extend val="0"/>
        <outline val="0"/>
        <shadow val="0"/>
        <u val="none"/>
        <vertAlign val="baseline"/>
        <sz val="9"/>
        <color theme="1"/>
        <name val="Consolas"/>
        <family val="3"/>
        <scheme val="none"/>
      </font>
      <numFmt numFmtId="0" formatCode="General"/>
      <alignment horizontal="left" vertical="center" textRotation="0" wrapText="1" indent="0" justifyLastLine="0" shrinkToFit="0" readingOrder="0"/>
      <protection locked="1" hidden="1"/>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border>
        <right style="thin">
          <color rgb="FFB2B2B2"/>
        </right>
      </border>
      <protection locked="0" hidden="1"/>
    </dxf>
    <dxf>
      <border outline="0">
        <top style="thin">
          <color rgb="FFB2B2B2"/>
        </top>
      </border>
    </dxf>
    <dxf>
      <font>
        <b val="0"/>
        <i val="0"/>
        <strike val="0"/>
        <condense val="0"/>
        <extend val="0"/>
        <outline val="0"/>
        <shadow val="0"/>
        <u val="none"/>
        <vertAlign val="baseline"/>
        <sz val="9"/>
        <color rgb="FF000000"/>
        <name val="Consolas"/>
        <family val="3"/>
        <scheme val="none"/>
      </font>
      <fill>
        <patternFill patternType="solid">
          <fgColor rgb="FF000000"/>
          <bgColor rgb="FFFFFFFF"/>
        </patternFill>
      </fill>
      <alignment horizontal="center"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9"/>
        <color theme="0"/>
        <name val="Consolas"/>
        <family val="3"/>
        <scheme val="none"/>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color rgb="FF151B25"/>
        <name val="Consolas"/>
        <family val="3"/>
        <scheme val="none"/>
      </font>
      <numFmt numFmtId="165" formatCode="0.000"/>
      <fill>
        <patternFill patternType="none">
          <fgColor indexed="64"/>
          <bgColor indexed="65"/>
        </patternFill>
      </fill>
      <alignment horizontal="left" vertical="center" textRotation="0" wrapText="1" indent="0" justifyLastLine="0" shrinkToFit="0" readingOrder="0"/>
      <protection locked="1" hidden="1"/>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font>
        <name val="Consolas"/>
        <family val="3"/>
        <scheme val="none"/>
      </font>
      <fill>
        <patternFill patternType="none">
          <fgColor indexed="64"/>
          <bgColor indexed="65"/>
        </patternFill>
      </fill>
      <alignment horizontal="left" vertical="center" textRotation="0" wrapText="1" indent="0" justifyLastLine="0" shrinkToFit="0" readingOrder="0"/>
    </dxf>
    <dxf>
      <font>
        <color rgb="FF151B25"/>
        <name val="Consolas"/>
        <family val="3"/>
        <scheme val="none"/>
      </font>
      <fill>
        <patternFill patternType="none">
          <fgColor indexed="64"/>
          <bgColor auto="1"/>
        </patternFill>
      </fill>
      <alignment horizontal="center" vertical="center" textRotation="0" wrapText="1" indent="0" justifyLastLine="0" shrinkToFit="0" readingOrder="0"/>
      <protection locked="1" hidden="1"/>
    </dxf>
    <dxf>
      <font>
        <b/>
        <i val="0"/>
        <strike val="0"/>
        <condense val="0"/>
        <extend val="0"/>
        <outline val="0"/>
        <shadow val="0"/>
        <u val="none"/>
        <vertAlign val="baseline"/>
        <sz val="11"/>
        <color theme="0" tint="-4.9989318521683403E-2"/>
        <name val="Consolas"/>
        <family val="3"/>
        <scheme val="none"/>
      </font>
      <fill>
        <patternFill patternType="none">
          <fgColor indexed="64"/>
          <bgColor auto="1"/>
        </patternFill>
      </fill>
      <alignment horizontal="center" vertical="center"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0" indent="0" justifyLastLine="0" shrinkToFit="0" readingOrder="0"/>
      <protection locked="1" hidden="1"/>
    </dxf>
    <dxf>
      <font>
        <strike val="0"/>
        <outline val="0"/>
        <shadow val="0"/>
        <u val="none"/>
        <vertAlign val="baseline"/>
        <sz val="9"/>
        <color auto="1"/>
        <name val="Consolas"/>
        <family val="3"/>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protection locked="1" hidden="1"/>
    </dxf>
    <dxf>
      <font>
        <strike val="0"/>
        <outline val="0"/>
        <shadow val="0"/>
        <u val="none"/>
        <vertAlign val="baseline"/>
        <sz val="9"/>
        <color auto="1"/>
        <name val="Consolas"/>
        <family val="3"/>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border>
      <protection locked="1" hidden="1"/>
    </dxf>
    <dxf>
      <font>
        <strike val="0"/>
        <outline val="0"/>
        <shadow val="0"/>
        <u val="none"/>
        <vertAlign val="baseline"/>
        <sz val="9"/>
        <color auto="1"/>
        <name val="Consolas"/>
        <family val="3"/>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top/>
        <bottom/>
      </border>
      <protection locked="1" hidden="1"/>
    </dxf>
    <dxf>
      <font>
        <strike val="0"/>
        <outline val="0"/>
        <shadow val="0"/>
        <u val="none"/>
        <vertAlign val="baseline"/>
        <sz val="9"/>
        <color theme="0"/>
        <name val="Consolas"/>
        <family val="3"/>
        <scheme val="none"/>
      </font>
      <fill>
        <patternFill patternType="solid">
          <fgColor indexed="64"/>
          <bgColor theme="0"/>
        </patternFill>
      </fill>
      <alignment horizontal="left" vertical="center" textRotation="0" wrapText="0" indent="0" justifyLastLine="0" shrinkToFit="0" readingOrder="0"/>
      <border outline="0">
        <right style="thin">
          <color indexed="64"/>
        </right>
      </border>
      <protection locked="1" hidden="1"/>
    </dxf>
    <dxf>
      <font>
        <strike val="0"/>
        <outline val="0"/>
        <shadow val="0"/>
        <u val="none"/>
        <vertAlign val="baseline"/>
        <sz val="9"/>
        <color auto="1"/>
        <name val="Consolas"/>
        <family val="3"/>
        <scheme val="none"/>
      </font>
      <fill>
        <patternFill patternType="solid">
          <fgColor indexed="64"/>
          <bgColor theme="0"/>
        </patternFill>
      </fill>
    </dxf>
    <dxf>
      <font>
        <strike val="0"/>
        <outline val="0"/>
        <shadow val="0"/>
        <u val="none"/>
        <vertAlign val="baseline"/>
        <sz val="9"/>
        <color auto="1"/>
        <name val="Consolas"/>
        <family val="3"/>
        <scheme val="none"/>
      </font>
      <fill>
        <patternFill patternType="solid">
          <fgColor indexed="64"/>
          <bgColor theme="0"/>
        </patternFill>
      </fill>
      <alignment horizontal="left" vertical="center" textRotation="0" wrapText="0" indent="0" justifyLastLine="0" shrinkToFit="0" readingOrder="0"/>
      <protection locked="1" hidden="1"/>
    </dxf>
    <dxf>
      <font>
        <strike val="0"/>
        <outline val="0"/>
        <shadow val="0"/>
        <u val="none"/>
        <vertAlign val="baseline"/>
        <sz val="9"/>
        <color theme="0"/>
        <name val="Consolas"/>
        <family val="3"/>
        <scheme val="none"/>
      </font>
      <fill>
        <patternFill patternType="solid">
          <fgColor indexed="64"/>
          <bgColor theme="0"/>
        </patternFill>
      </fill>
      <alignment horizontal="left" vertical="center"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rgb="FF000000"/>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rgb="FF000000"/>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rgb="FF000000"/>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2" formatCode="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2" formatCode="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2" formatCode="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165" formatCode="0.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165" formatCode="0.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1" formatCode="0"/>
      <fill>
        <patternFill patternType="solid">
          <fgColor rgb="FF000000"/>
          <bgColor theme="0"/>
        </patternFill>
      </fill>
      <alignment horizontal="center" vertical="bottom" textRotation="0" wrapText="0" indent="0" justifyLastLine="0" shrinkToFit="0" readingOrder="0"/>
      <protection locked="1" hidden="1"/>
    </dxf>
    <dxf>
      <border outline="0">
        <top style="thin">
          <color rgb="FFB2B2B2"/>
        </top>
      </border>
    </dxf>
    <dxf>
      <font>
        <b val="0"/>
        <i val="0"/>
        <strike val="0"/>
        <condense val="0"/>
        <extend val="0"/>
        <outline val="0"/>
        <shadow val="0"/>
        <u val="none"/>
        <vertAlign val="baseline"/>
        <sz val="9"/>
        <color rgb="FF151B25"/>
        <name val="Calibri"/>
        <family val="2"/>
        <scheme val="none"/>
      </font>
      <fill>
        <patternFill patternType="solid">
          <fgColor rgb="FF000000"/>
          <bgColor theme="0"/>
        </patternFill>
      </fill>
      <alignment horizontal="center" vertical="bottom" textRotation="0" wrapText="0" indent="0" justifyLastLine="0" shrinkToFit="0" readingOrder="0"/>
      <protection locked="1" hidden="1"/>
    </dxf>
    <dxf>
      <border>
        <bottom style="thin">
          <color rgb="FF000000"/>
        </bottom>
      </border>
    </dxf>
    <dxf>
      <font>
        <strike val="0"/>
        <outline val="0"/>
        <shadow val="0"/>
        <u val="none"/>
        <vertAlign val="baseline"/>
        <sz val="9"/>
        <color theme="0"/>
        <name val="Calibri"/>
        <family val="2"/>
        <scheme val="minor"/>
      </font>
      <alignment horizontal="center" vertical="center" textRotation="0" wrapText="1" indent="0" justifyLastLine="0" shrinkToFit="0" readingOrder="0"/>
      <protection locked="1" hidden="1"/>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border outline="0">
        <right style="thin">
          <color rgb="FFB2B2B2"/>
        </right>
      </border>
      <protection locked="0" hidden="0"/>
    </dxf>
    <dxf>
      <border outline="0">
        <top style="thin">
          <color rgb="FFB2B2B2"/>
        </top>
      </border>
    </dxf>
    <dxf>
      <font>
        <b val="0"/>
        <i val="0"/>
        <strike val="0"/>
        <condense val="0"/>
        <extend val="0"/>
        <outline val="0"/>
        <shadow val="0"/>
        <u val="none"/>
        <vertAlign val="baseline"/>
        <sz val="9"/>
        <color rgb="FF000000"/>
        <name val="Consolas"/>
        <family val="3"/>
        <scheme val="none"/>
      </font>
      <fill>
        <patternFill patternType="solid">
          <fgColor rgb="FF000000"/>
          <bgColor rgb="FFFFFFFF"/>
        </patternFill>
      </fill>
      <alignment horizontal="center"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9"/>
        <color theme="0"/>
        <name val="Consolas"/>
        <family val="3"/>
        <scheme val="none"/>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strike val="0"/>
        <outline val="0"/>
        <shadow val="0"/>
        <u val="none"/>
        <vertAlign val="baseline"/>
        <name val="Consolas"/>
        <family val="3"/>
        <scheme val="none"/>
      </font>
      <numFmt numFmtId="14" formatCode="0.0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Consolas"/>
        <family val="3"/>
        <scheme val="none"/>
      </font>
      <alignment horizontal="center" vertical="center" textRotation="0" wrapText="0" indent="0" justifyLastLine="0" shrinkToFit="0" readingOrder="0"/>
      <protection locked="0" hidden="0"/>
    </dxf>
    <dxf>
      <border>
        <bottom style="thin">
          <color rgb="FF000000"/>
        </bottom>
      </border>
    </dxf>
    <dxf>
      <font>
        <strike val="0"/>
        <outline val="0"/>
        <shadow val="0"/>
        <u val="none"/>
        <vertAlign val="baseline"/>
        <sz val="9"/>
        <color theme="0"/>
        <name val="Consolas"/>
        <family val="3"/>
        <scheme val="none"/>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b/>
        <i val="0"/>
        <strike val="0"/>
        <condense val="0"/>
        <extend val="0"/>
        <outline val="0"/>
        <shadow val="0"/>
        <u val="none"/>
        <vertAlign val="baseline"/>
        <sz val="9"/>
        <color rgb="FF151B25"/>
        <name val="Consolas"/>
        <family val="3"/>
        <scheme val="none"/>
      </font>
      <numFmt numFmtId="165" formatCode="0.000"/>
      <fill>
        <patternFill patternType="none">
          <fgColor indexed="64"/>
          <bgColor theme="0"/>
        </patternFill>
      </fill>
      <alignment horizontal="center" vertical="bottom" textRotation="0" wrapText="0" indent="0" justifyLastLine="0" shrinkToFit="0" readingOrder="0"/>
      <border diagonalUp="0" diagonalDown="0">
        <left style="thin">
          <color rgb="FF151B25"/>
        </left>
        <right style="thin">
          <color rgb="FF151B25"/>
        </right>
        <top/>
        <bottom/>
      </border>
      <protection locked="1" hidden="1"/>
    </dxf>
    <dxf>
      <font>
        <b/>
        <i val="0"/>
        <strike val="0"/>
        <condense val="0"/>
        <extend val="0"/>
        <outline val="0"/>
        <shadow val="0"/>
        <u val="none"/>
        <vertAlign val="baseline"/>
        <sz val="9"/>
        <color rgb="FF151B25"/>
        <name val="Consolas"/>
        <family val="3"/>
        <scheme val="none"/>
      </font>
      <numFmt numFmtId="165" formatCode="0.000"/>
      <alignment horizontal="center" vertical="bottom" textRotation="0" wrapText="0" indent="0" justifyLastLine="0" shrinkToFit="0" readingOrder="0"/>
      <protection locked="0" hidden="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rgb="FF151B25"/>
        <name val="Consolas"/>
        <family val="3"/>
        <scheme val="none"/>
      </font>
      <fill>
        <patternFill patternType="none">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0"/>
        <name val="Consolas"/>
        <family val="3"/>
        <scheme val="none"/>
      </font>
      <fill>
        <patternFill patternType="none">
          <fgColor indexed="64"/>
          <bgColor auto="1"/>
        </patternFill>
      </fill>
      <alignment horizontal="center" vertical="center" textRotation="0" wrapText="1" indent="0" justifyLastLine="0" shrinkToFit="0" readingOrder="0"/>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indexed="65"/>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auto="1"/>
        </patternFill>
      </fill>
      <alignment horizontal="center" vertical="bottom" textRotation="0" wrapText="0" indent="0" justifyLastLine="0" shrinkToFit="0" readingOrder="0"/>
      <border diagonalUp="0" diagonalDown="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fill>
        <patternFill patternType="none">
          <fgColor indexed="64"/>
          <bgColor auto="1"/>
        </patternFill>
      </fill>
      <alignment horizontal="center" vertical="center" textRotation="0" wrapText="0" indent="0" justifyLastLine="0" shrinkToFit="0" readingOrder="0"/>
      <protection locked="1" hidden="1"/>
    </dxf>
    <dxf>
      <border outline="0">
        <top style="thin">
          <color rgb="FFB2B2B2"/>
        </top>
      </border>
    </dxf>
    <dxf>
      <border outline="0">
        <left style="thin">
          <color rgb="FFB2B2B2"/>
        </left>
        <right style="thin">
          <color rgb="FFB2B2B2"/>
        </right>
        <top style="thin">
          <color rgb="FFB2B2B2"/>
        </top>
        <bottom style="thin">
          <color rgb="FFB2B2B2"/>
        </bottom>
      </border>
    </dxf>
    <dxf>
      <font>
        <b val="0"/>
        <i val="0"/>
        <strike val="0"/>
        <condense val="0"/>
        <extend val="0"/>
        <outline val="0"/>
        <shadow val="0"/>
        <u val="none"/>
        <vertAlign val="baseline"/>
        <sz val="8"/>
        <color auto="1"/>
        <name val="Consolas"/>
        <family val="3"/>
        <scheme val="none"/>
      </font>
      <fill>
        <patternFill patternType="none">
          <fgColor rgb="FF000000"/>
          <bgColor auto="1"/>
        </patternFill>
      </fill>
      <alignment horizontal="center" vertical="bottom" textRotation="0" wrapText="0" indent="0" justifyLastLine="0" shrinkToFit="0" readingOrder="0"/>
      <protection locked="1" hidden="1"/>
    </dxf>
    <dxf>
      <border>
        <bottom style="thin">
          <color indexed="64"/>
        </bottom>
      </border>
    </dxf>
    <dxf>
      <font>
        <strike val="0"/>
        <outline val="0"/>
        <shadow val="0"/>
        <u val="none"/>
        <vertAlign val="baseline"/>
        <sz val="8"/>
        <color theme="0"/>
        <name val="Consolas"/>
        <family val="3"/>
        <scheme val="none"/>
      </font>
      <alignment horizontal="center" vertical="center" textRotation="0" wrapText="0" indent="0" justifyLastLine="0" shrinkToFit="0" readingOrder="0"/>
      <border diagonalUp="0" diagonalDown="0">
        <left/>
        <right/>
        <top/>
        <bottom/>
        <vertical/>
        <horizontal/>
      </border>
      <protection locked="1" hidden="1"/>
    </dxf>
  </dxfs>
  <tableStyles count="0" defaultTableStyle="TableStyleMedium2" defaultPivotStyle="PivotStyleLight16"/>
  <colors>
    <mruColors>
      <color rgb="FF151B25"/>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7</xdr:col>
      <xdr:colOff>162659</xdr:colOff>
      <xdr:row>1</xdr:row>
      <xdr:rowOff>162657</xdr:rowOff>
    </xdr:from>
    <xdr:to>
      <xdr:col>8</xdr:col>
      <xdr:colOff>1163517</xdr:colOff>
      <xdr:row>28</xdr:row>
      <xdr:rowOff>123824</xdr:rowOff>
    </xdr:to>
    <mc:AlternateContent xmlns:mc="http://schemas.openxmlformats.org/markup-compatibility/2006" xmlns:a14="http://schemas.microsoft.com/office/drawing/2010/main">
      <mc:Choice Requires="a14">
        <xdr:graphicFrame macro="">
          <xdr:nvGraphicFramePr>
            <xdr:cNvPr id="2" name="Axis 1">
              <a:extLst>
                <a:ext uri="{FF2B5EF4-FFF2-40B4-BE49-F238E27FC236}">
                  <a16:creationId xmlns:a16="http://schemas.microsoft.com/office/drawing/2014/main" id="{DFDA73DE-625F-A07B-007E-D2E80E842434}"/>
                </a:ext>
              </a:extLst>
            </xdr:cNvPr>
            <xdr:cNvGraphicFramePr/>
          </xdr:nvGraphicFramePr>
          <xdr:xfrm>
            <a:off x="0" y="0"/>
            <a:ext cx="0" cy="0"/>
          </xdr:xfrm>
          <a:graphic>
            <a:graphicData uri="http://schemas.microsoft.com/office/drawing/2010/slicer">
              <sle:slicer xmlns:sle="http://schemas.microsoft.com/office/drawing/2010/slicer" name="Axis 1"/>
            </a:graphicData>
          </a:graphic>
        </xdr:graphicFrame>
      </mc:Choice>
      <mc:Fallback xmlns="">
        <xdr:sp macro="" textlink="">
          <xdr:nvSpPr>
            <xdr:cNvPr id="0" name=""/>
            <xdr:cNvSpPr>
              <a:spLocks noTextEdit="1"/>
            </xdr:cNvSpPr>
          </xdr:nvSpPr>
          <xdr:spPr>
            <a:xfrm>
              <a:off x="4822582" y="353158"/>
              <a:ext cx="1828800" cy="4577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5978.363816319441" backgroundQuery="1" createdVersion="8" refreshedVersion="8" minRefreshableVersion="3" recordCount="166" xr:uid="{F791A7E9-B0F5-4441-B153-0091D11D3280}">
  <cacheSource type="external" connectionId="5"/>
  <cacheFields count="17">
    <cacheField name="Section" numFmtId="0">
      <sharedItems count="4">
        <s v="Abutment"/>
        <s v="Bearing Pier"/>
        <s v="Fixed Pier"/>
        <s v="Coordinate"/>
      </sharedItems>
    </cacheField>
    <cacheField name="Point" numFmtId="0">
      <sharedItems containsSemiMixedTypes="0" containsString="0" containsNumber="1" containsInteger="1" minValue="1" maxValue="10" count="10">
        <n v="1"/>
        <n v="2"/>
        <n v="3"/>
        <n v="6"/>
        <n v="7"/>
        <n v="8"/>
        <n v="4"/>
        <n v="5"/>
        <n v="9"/>
        <n v="10"/>
      </sharedItems>
    </cacheField>
    <cacheField name="ΔX" numFmtId="0">
      <sharedItems containsSemiMixedTypes="0" containsString="0" containsNumber="1" minValue="-5.25" maxValue="5.25" count="10">
        <n v="5.25"/>
        <n v="4.9000000000000004"/>
        <n v="-4.9000000000000004"/>
        <n v="-5.25"/>
        <n v="4.25"/>
        <n v="1.8"/>
        <n v="1.75"/>
        <n v="-1.75"/>
        <n v="-1.8"/>
        <n v="-4.25"/>
      </sharedItems>
    </cacheField>
    <cacheField name="ΔY" numFmtId="0">
      <sharedItems containsSemiMixedTypes="0" containsString="0" containsNumber="1" minValue="-1.5" maxValue="0" count="4">
        <n v="0"/>
        <n v="-0.25"/>
        <n v="-1.5"/>
        <n v="-0.8"/>
      </sharedItems>
    </cacheField>
    <cacheField name="North-South" numFmtId="0">
      <sharedItems count="2">
        <s v="S"/>
        <s v="N"/>
      </sharedItems>
    </cacheField>
    <cacheField name="Axis" numFmtId="0">
      <sharedItems count="17">
        <s v="A1"/>
        <s v="A2"/>
        <s v="P1"/>
        <s v="P2"/>
        <s v="P5"/>
        <s v="P6"/>
        <s v="P3"/>
        <s v="P4"/>
        <s v="S1"/>
        <s v="S2"/>
        <s v="S3"/>
        <s v="S4"/>
        <s v="S5"/>
        <s v="S6"/>
        <s v="S7"/>
        <s v="E1"/>
        <s v="E2"/>
      </sharedItems>
    </cacheField>
    <cacheField name="Station" numFmtId="0">
      <sharedItems containsSemiMixedTypes="0" containsString="0" containsNumber="1" minValue="952.84500000000003" maxValue="1122.366" count="17">
        <n v="953.63499999999999"/>
        <n v="1121.575"/>
        <n v="975.36900000000003"/>
        <n v="999.07799999999997"/>
        <n v="1076.133"/>
        <n v="1099.8420000000001"/>
        <n v="1026.739"/>
        <n v="1048.472"/>
        <n v="964.50199999999995"/>
        <n v="987.22299999999996"/>
        <n v="1012.908"/>
        <n v="1037.605"/>
        <n v="1062.3030000000001"/>
        <n v="1087.9880000000001"/>
        <n v="1110.7090000000001"/>
        <n v="952.84500000000003"/>
        <n v="1122.366"/>
      </sharedItems>
    </cacheField>
    <cacheField name="Alignment Elevation" numFmtId="0">
      <sharedItems containsSemiMixedTypes="0" containsString="0" containsNumber="1" minValue="633.72655215181544" maxValue="634.50084734710003" count="17">
        <n v="633.7305023515728"/>
        <n v="634.48860408159999"/>
        <n v="633.839177847173"/>
        <n v="633.95772884216649"/>
        <n v="634.34302332608479"/>
        <n v="634.46157432107816"/>
        <n v="634.09604083645195"/>
        <n v="634.20471133179933"/>
        <n v="633.7848400993729"/>
        <n v="633.89845084454328"/>
        <n v="634.02688233918275"/>
        <n v="634.15037358399923"/>
        <n v="634.27386982906853"/>
        <n v="634.40230132370789"/>
        <n v="634.50084734710003"/>
        <n v="633.72655215181544"/>
        <n v="634.48563816777505"/>
      </sharedItems>
    </cacheField>
    <cacheField name="Superelevation (e%)" numFmtId="0">
      <sharedItems containsSemiMixedTypes="0" containsString="0" containsNumber="1" minValue="5.6000000000000001E-2" maxValue="5.6000000000000001E-2" count="1">
        <n v="5.6000000000000001E-2"/>
      </sharedItems>
    </cacheField>
    <cacheField name="Structure Elevation" numFmtId="0">
      <sharedItems containsSemiMixedTypes="0" containsString="0" containsNumber="1" minValue="633.84855215181551" maxValue="634.62284734710011" count="17">
        <n v="633.85250235157287"/>
        <n v="634.61060408160006"/>
        <n v="633.96117784717308"/>
        <n v="634.07972884216656"/>
        <n v="634.46502332608486"/>
        <n v="634.58357432107823"/>
        <n v="634.21804083645202"/>
        <n v="634.3267113317994"/>
        <n v="633.90684009937297"/>
        <n v="634.02045084454335"/>
        <n v="634.14888233918282"/>
        <n v="634.2723735839993"/>
        <n v="634.3958698290686"/>
        <n v="634.52430132370796"/>
        <n v="634.62284734710011"/>
        <n v="633.84855215181551"/>
        <n v="634.60763816777512"/>
      </sharedItems>
    </cacheField>
    <cacheField name="Axis Center X Coordinate" numFmtId="0">
      <sharedItems containsSemiMixedTypes="0" containsString="0" containsNumber="1" minValue="676508.97100000002" maxValue="676629.55099999998" count="16">
        <n v="676509.34"/>
        <n v="676628.83299999998"/>
        <n v="676520.27800000005"/>
        <n v="676533.94700000004"/>
        <n v="676589.50600000005"/>
        <n v="676609.51699999999"/>
        <n v="676552.04399999999"/>
        <n v="676567.76599999995"/>
        <n v="676514.61300000001"/>
        <n v="676526.89199999999"/>
        <n v="676542.71699999995"/>
        <n v="676559.74699999997"/>
        <n v="676578.40599999996"/>
        <n v="676599.36300000001"/>
        <n v="676508.97100000002"/>
        <n v="676629.55099999998"/>
      </sharedItems>
    </cacheField>
    <cacheField name="Axis Center Y Coordinate" numFmtId="0">
      <sharedItems containsSemiMixedTypes="0" containsString="0" containsNumber="1" minValue="2704990.6680000001" maxValue="2705108.6359999999" count="16">
        <n v="2705107.926"/>
        <n v="2704991.02"/>
        <n v="2705088.8450000002"/>
        <n v="2705069.128"/>
        <n v="2705014.7719999999"/>
        <n v="2705001.537"/>
        <n v="2705047.7790000001"/>
        <n v="2705032.398"/>
        <n v="2705098.273"/>
        <n v="2705078.8330000001"/>
        <n v="2705058.2170000002"/>
        <n v="2705039.9270000001"/>
        <n v="2705023.301"/>
        <n v="2705007.9309999999"/>
        <n v="2705108.6359999999"/>
        <n v="2704990.6680000001"/>
      </sharedItems>
    </cacheField>
    <cacheField name="θ" numFmtId="0">
      <sharedItems containsSemiMixedTypes="0" containsString="0" containsNumber="1" minValue="27.466000000000001" maxValue="63.79" count="16">
        <n v="27.472000000000001"/>
        <n v="63.79"/>
        <n v="32.170999999999999"/>
        <n v="37.296999999999997"/>
        <n v="53.957000000000001"/>
        <n v="59.082999999999998"/>
        <n v="43.277000000000001"/>
        <n v="47.975999999999999"/>
        <n v="29.821000000000002"/>
        <n v="34.734000000000002"/>
        <n v="40.286999999999999"/>
        <n v="45.627000000000002"/>
        <n v="50.966999999999999"/>
        <n v="56.52"/>
        <n v="61.433"/>
        <n v="27.466000000000001"/>
      </sharedItems>
    </cacheField>
    <cacheField name="Corrected θ" numFmtId="0">
      <sharedItems containsSemiMixedTypes="0" containsString="0" containsNumber="1" minValue="27.466000000000001" maxValue="243.79"/>
    </cacheField>
    <cacheField name="Point Elevation" numFmtId="0">
      <sharedItems containsSemiMixedTypes="0" containsString="0" containsNumber="1" minValue="632.07810235157285" maxValue="634.91684734710009"/>
    </cacheField>
    <cacheField name="Easting" numFmtId="0">
      <sharedItems containsSemiMixedTypes="0" containsString="0" containsNumber="1" minValue="676504.31275540835" maxValue="676631.86972784775"/>
    </cacheField>
    <cacheField name="Northing" numFmtId="0">
      <sharedItems containsSemiMixedTypes="0" containsString="0" containsNumber="1" minValue="2704985.957798182" maxValue="2705111.0574163878"/>
    </cacheField>
  </cacheFields>
  <extLst>
    <ext xmlns:x14="http://schemas.microsoft.com/office/spreadsheetml/2009/9/main" uri="{725AE2AE-9491-48be-B2B4-4EB974FC3084}">
      <x14:pivotCacheDefinition pivotCacheId="1798928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
  <r>
    <x v="0"/>
    <x v="0"/>
    <x v="0"/>
    <x v="0"/>
    <x v="0"/>
    <x v="0"/>
    <x v="0"/>
    <x v="0"/>
    <x v="0"/>
    <x v="0"/>
    <x v="0"/>
    <x v="0"/>
    <x v="0"/>
    <n v="207.47200000000001"/>
    <n v="634.14650235157285"/>
    <n v="676504.68200900394"/>
    <n v="2705105.5040958151"/>
  </r>
  <r>
    <x v="0"/>
    <x v="1"/>
    <x v="0"/>
    <x v="1"/>
    <x v="0"/>
    <x v="0"/>
    <x v="0"/>
    <x v="0"/>
    <x v="0"/>
    <x v="0"/>
    <x v="0"/>
    <x v="0"/>
    <x v="0"/>
    <n v="207.47200000000001"/>
    <n v="633.89650235157285"/>
    <n v="676504.68200900394"/>
    <n v="2705105.5040958151"/>
  </r>
  <r>
    <x v="0"/>
    <x v="2"/>
    <x v="1"/>
    <x v="1"/>
    <x v="0"/>
    <x v="0"/>
    <x v="0"/>
    <x v="0"/>
    <x v="0"/>
    <x v="0"/>
    <x v="0"/>
    <x v="0"/>
    <x v="0"/>
    <n v="207.47200000000001"/>
    <n v="633.87690235157288"/>
    <n v="676504.99254173704"/>
    <n v="2705105.6655560941"/>
  </r>
  <r>
    <x v="0"/>
    <x v="3"/>
    <x v="2"/>
    <x v="1"/>
    <x v="1"/>
    <x v="0"/>
    <x v="0"/>
    <x v="0"/>
    <x v="0"/>
    <x v="0"/>
    <x v="0"/>
    <x v="0"/>
    <x v="0"/>
    <n v="27.472000000000001"/>
    <n v="633.32810235157285"/>
    <n v="676513.6874582629"/>
    <n v="2705110.1864439058"/>
  </r>
  <r>
    <x v="0"/>
    <x v="4"/>
    <x v="3"/>
    <x v="1"/>
    <x v="1"/>
    <x v="0"/>
    <x v="0"/>
    <x v="0"/>
    <x v="0"/>
    <x v="0"/>
    <x v="0"/>
    <x v="0"/>
    <x v="0"/>
    <n v="27.472000000000001"/>
    <n v="633.30850235157288"/>
    <n v="676513.99799099599"/>
    <n v="2705110.3479041848"/>
  </r>
  <r>
    <x v="0"/>
    <x v="5"/>
    <x v="3"/>
    <x v="0"/>
    <x v="1"/>
    <x v="0"/>
    <x v="0"/>
    <x v="0"/>
    <x v="0"/>
    <x v="0"/>
    <x v="0"/>
    <x v="0"/>
    <x v="0"/>
    <n v="27.472000000000001"/>
    <n v="633.55850235157288"/>
    <n v="676513.99799099599"/>
    <n v="2705110.3479041848"/>
  </r>
  <r>
    <x v="0"/>
    <x v="6"/>
    <x v="1"/>
    <x v="2"/>
    <x v="0"/>
    <x v="0"/>
    <x v="0"/>
    <x v="0"/>
    <x v="0"/>
    <x v="0"/>
    <x v="0"/>
    <x v="0"/>
    <x v="0"/>
    <n v="207.47200000000001"/>
    <n v="632.62690235157288"/>
    <n v="676504.99254173704"/>
    <n v="2705105.6655560941"/>
  </r>
  <r>
    <x v="0"/>
    <x v="7"/>
    <x v="2"/>
    <x v="2"/>
    <x v="1"/>
    <x v="0"/>
    <x v="0"/>
    <x v="0"/>
    <x v="0"/>
    <x v="0"/>
    <x v="0"/>
    <x v="0"/>
    <x v="0"/>
    <n v="27.472000000000001"/>
    <n v="632.07810235157285"/>
    <n v="676513.6874582629"/>
    <n v="2705110.1864439058"/>
  </r>
  <r>
    <x v="0"/>
    <x v="0"/>
    <x v="0"/>
    <x v="0"/>
    <x v="0"/>
    <x v="1"/>
    <x v="1"/>
    <x v="1"/>
    <x v="0"/>
    <x v="1"/>
    <x v="1"/>
    <x v="1"/>
    <x v="1"/>
    <n v="243.79"/>
    <n v="634.90460408160004"/>
    <n v="676626.51427215221"/>
    <n v="2704986.309798182"/>
  </r>
  <r>
    <x v="0"/>
    <x v="1"/>
    <x v="0"/>
    <x v="1"/>
    <x v="0"/>
    <x v="1"/>
    <x v="1"/>
    <x v="1"/>
    <x v="0"/>
    <x v="1"/>
    <x v="1"/>
    <x v="1"/>
    <x v="1"/>
    <n v="243.79"/>
    <n v="634.65460408160004"/>
    <n v="676626.51427215221"/>
    <n v="2704986.309798182"/>
  </r>
  <r>
    <x v="0"/>
    <x v="2"/>
    <x v="1"/>
    <x v="1"/>
    <x v="0"/>
    <x v="1"/>
    <x v="1"/>
    <x v="1"/>
    <x v="0"/>
    <x v="1"/>
    <x v="1"/>
    <x v="1"/>
    <x v="1"/>
    <n v="243.79"/>
    <n v="634.63500408160007"/>
    <n v="676626.66885400878"/>
    <n v="2704986.6238116366"/>
  </r>
  <r>
    <x v="0"/>
    <x v="3"/>
    <x v="2"/>
    <x v="1"/>
    <x v="1"/>
    <x v="1"/>
    <x v="1"/>
    <x v="1"/>
    <x v="0"/>
    <x v="1"/>
    <x v="1"/>
    <x v="1"/>
    <x v="1"/>
    <n v="63.79"/>
    <n v="634.08620408160004"/>
    <n v="676630.99714599119"/>
    <n v="2704995.4161883635"/>
  </r>
  <r>
    <x v="0"/>
    <x v="4"/>
    <x v="3"/>
    <x v="1"/>
    <x v="1"/>
    <x v="1"/>
    <x v="1"/>
    <x v="1"/>
    <x v="0"/>
    <x v="1"/>
    <x v="1"/>
    <x v="1"/>
    <x v="1"/>
    <n v="63.79"/>
    <n v="634.06660408160008"/>
    <n v="676631.15172784775"/>
    <n v="2704995.730201818"/>
  </r>
  <r>
    <x v="0"/>
    <x v="5"/>
    <x v="3"/>
    <x v="0"/>
    <x v="1"/>
    <x v="1"/>
    <x v="1"/>
    <x v="1"/>
    <x v="0"/>
    <x v="1"/>
    <x v="1"/>
    <x v="1"/>
    <x v="1"/>
    <n v="63.79"/>
    <n v="634.31660408160008"/>
    <n v="676631.15172784775"/>
    <n v="2704995.730201818"/>
  </r>
  <r>
    <x v="0"/>
    <x v="6"/>
    <x v="1"/>
    <x v="2"/>
    <x v="0"/>
    <x v="1"/>
    <x v="1"/>
    <x v="1"/>
    <x v="0"/>
    <x v="1"/>
    <x v="1"/>
    <x v="1"/>
    <x v="1"/>
    <n v="243.79"/>
    <n v="633.38500408160007"/>
    <n v="676626.66885400878"/>
    <n v="2704986.6238116366"/>
  </r>
  <r>
    <x v="0"/>
    <x v="7"/>
    <x v="2"/>
    <x v="2"/>
    <x v="1"/>
    <x v="1"/>
    <x v="1"/>
    <x v="1"/>
    <x v="0"/>
    <x v="1"/>
    <x v="1"/>
    <x v="1"/>
    <x v="1"/>
    <n v="63.79"/>
    <n v="632.83620408160004"/>
    <n v="676630.99714599119"/>
    <n v="2704995.4161883635"/>
  </r>
  <r>
    <x v="1"/>
    <x v="0"/>
    <x v="0"/>
    <x v="0"/>
    <x v="0"/>
    <x v="2"/>
    <x v="2"/>
    <x v="2"/>
    <x v="0"/>
    <x v="2"/>
    <x v="2"/>
    <x v="2"/>
    <x v="2"/>
    <n v="212.17099999999999"/>
    <n v="634.25517784717306"/>
    <n v="676515.83407045412"/>
    <n v="2705086.0496484675"/>
  </r>
  <r>
    <x v="1"/>
    <x v="1"/>
    <x v="0"/>
    <x v="1"/>
    <x v="0"/>
    <x v="2"/>
    <x v="2"/>
    <x v="2"/>
    <x v="0"/>
    <x v="2"/>
    <x v="2"/>
    <x v="2"/>
    <x v="2"/>
    <n v="212.17099999999999"/>
    <n v="634.00517784717306"/>
    <n v="676515.83407045412"/>
    <n v="2705086.0496484675"/>
  </r>
  <r>
    <x v="1"/>
    <x v="2"/>
    <x v="4"/>
    <x v="1"/>
    <x v="0"/>
    <x v="2"/>
    <x v="2"/>
    <x v="2"/>
    <x v="0"/>
    <x v="2"/>
    <x v="2"/>
    <x v="2"/>
    <x v="2"/>
    <n v="212.17099999999999"/>
    <n v="633.94917784717313"/>
    <n v="676516.68053322483"/>
    <n v="2705086.5820963783"/>
  </r>
  <r>
    <x v="1"/>
    <x v="6"/>
    <x v="5"/>
    <x v="3"/>
    <x v="0"/>
    <x v="2"/>
    <x v="2"/>
    <x v="2"/>
    <x v="0"/>
    <x v="2"/>
    <x v="2"/>
    <x v="2"/>
    <x v="2"/>
    <n v="212.17099999999999"/>
    <n v="633.26197784717317"/>
    <n v="676518.75436701288"/>
    <n v="2705087.8865937605"/>
  </r>
  <r>
    <x v="1"/>
    <x v="7"/>
    <x v="6"/>
    <x v="2"/>
    <x v="0"/>
    <x v="2"/>
    <x v="2"/>
    <x v="2"/>
    <x v="0"/>
    <x v="2"/>
    <x v="2"/>
    <x v="2"/>
    <x v="2"/>
    <n v="212.17099999999999"/>
    <n v="632.55917784717303"/>
    <n v="676518.79669015144"/>
    <n v="2705087.913216156"/>
  </r>
  <r>
    <x v="1"/>
    <x v="3"/>
    <x v="7"/>
    <x v="2"/>
    <x v="1"/>
    <x v="2"/>
    <x v="2"/>
    <x v="2"/>
    <x v="0"/>
    <x v="2"/>
    <x v="2"/>
    <x v="2"/>
    <x v="2"/>
    <n v="32.170999999999999"/>
    <n v="632.36317784717312"/>
    <n v="676521.75930984865"/>
    <n v="2705089.7767838445"/>
  </r>
  <r>
    <x v="1"/>
    <x v="4"/>
    <x v="8"/>
    <x v="3"/>
    <x v="1"/>
    <x v="2"/>
    <x v="2"/>
    <x v="2"/>
    <x v="0"/>
    <x v="2"/>
    <x v="2"/>
    <x v="2"/>
    <x v="2"/>
    <n v="32.170999999999999"/>
    <n v="633.06037784717307"/>
    <n v="676521.80163298722"/>
    <n v="2705089.80340624"/>
  </r>
  <r>
    <x v="1"/>
    <x v="5"/>
    <x v="9"/>
    <x v="1"/>
    <x v="1"/>
    <x v="2"/>
    <x v="2"/>
    <x v="2"/>
    <x v="0"/>
    <x v="2"/>
    <x v="2"/>
    <x v="2"/>
    <x v="2"/>
    <n v="32.170999999999999"/>
    <n v="633.47317784717302"/>
    <n v="676523.87546677527"/>
    <n v="2705091.1079036221"/>
  </r>
  <r>
    <x v="1"/>
    <x v="8"/>
    <x v="3"/>
    <x v="1"/>
    <x v="1"/>
    <x v="2"/>
    <x v="2"/>
    <x v="2"/>
    <x v="0"/>
    <x v="2"/>
    <x v="2"/>
    <x v="2"/>
    <x v="2"/>
    <n v="32.170999999999999"/>
    <n v="633.41717784717309"/>
    <n v="676524.72192954598"/>
    <n v="2705091.640351533"/>
  </r>
  <r>
    <x v="1"/>
    <x v="0"/>
    <x v="0"/>
    <x v="0"/>
    <x v="0"/>
    <x v="3"/>
    <x v="3"/>
    <x v="3"/>
    <x v="0"/>
    <x v="3"/>
    <x v="3"/>
    <x v="3"/>
    <x v="3"/>
    <n v="217.297"/>
    <n v="634.37372884216654"/>
    <n v="676529.77059765148"/>
    <n v="2705065.9467795701"/>
  </r>
  <r>
    <x v="1"/>
    <x v="1"/>
    <x v="0"/>
    <x v="1"/>
    <x v="0"/>
    <x v="3"/>
    <x v="3"/>
    <x v="3"/>
    <x v="0"/>
    <x v="3"/>
    <x v="3"/>
    <x v="3"/>
    <x v="3"/>
    <n v="217.297"/>
    <n v="634.12372884216654"/>
    <n v="676529.77059765148"/>
    <n v="2705065.9467795701"/>
  </r>
  <r>
    <x v="1"/>
    <x v="2"/>
    <x v="4"/>
    <x v="1"/>
    <x v="0"/>
    <x v="3"/>
    <x v="3"/>
    <x v="3"/>
    <x v="0"/>
    <x v="3"/>
    <x v="3"/>
    <x v="3"/>
    <x v="3"/>
    <n v="217.297"/>
    <n v="634.06772884216662"/>
    <n v="676530.56610286073"/>
    <n v="2705066.5527263186"/>
  </r>
  <r>
    <x v="1"/>
    <x v="6"/>
    <x v="5"/>
    <x v="3"/>
    <x v="0"/>
    <x v="3"/>
    <x v="3"/>
    <x v="3"/>
    <x v="0"/>
    <x v="3"/>
    <x v="3"/>
    <x v="3"/>
    <x v="3"/>
    <n v="217.297"/>
    <n v="633.38052884216665"/>
    <n v="676532.5150906234"/>
    <n v="2705068.0372958528"/>
  </r>
  <r>
    <x v="1"/>
    <x v="7"/>
    <x v="6"/>
    <x v="2"/>
    <x v="0"/>
    <x v="3"/>
    <x v="3"/>
    <x v="3"/>
    <x v="0"/>
    <x v="3"/>
    <x v="3"/>
    <x v="3"/>
    <x v="3"/>
    <n v="217.297"/>
    <n v="632.67772884216652"/>
    <n v="676532.5548658839"/>
    <n v="2705068.0675931899"/>
  </r>
  <r>
    <x v="1"/>
    <x v="3"/>
    <x v="7"/>
    <x v="2"/>
    <x v="1"/>
    <x v="3"/>
    <x v="3"/>
    <x v="3"/>
    <x v="0"/>
    <x v="3"/>
    <x v="3"/>
    <x v="3"/>
    <x v="3"/>
    <n v="37.296999999999997"/>
    <n v="632.4817288421666"/>
    <n v="676535.33913411619"/>
    <n v="2705070.1884068102"/>
  </r>
  <r>
    <x v="1"/>
    <x v="4"/>
    <x v="8"/>
    <x v="3"/>
    <x v="1"/>
    <x v="3"/>
    <x v="3"/>
    <x v="3"/>
    <x v="0"/>
    <x v="3"/>
    <x v="3"/>
    <x v="3"/>
    <x v="3"/>
    <n v="37.296999999999997"/>
    <n v="633.17892884216656"/>
    <n v="676535.37890937668"/>
    <n v="2705070.2187041473"/>
  </r>
  <r>
    <x v="1"/>
    <x v="5"/>
    <x v="9"/>
    <x v="1"/>
    <x v="1"/>
    <x v="3"/>
    <x v="3"/>
    <x v="3"/>
    <x v="0"/>
    <x v="3"/>
    <x v="3"/>
    <x v="3"/>
    <x v="3"/>
    <n v="37.296999999999997"/>
    <n v="633.5917288421665"/>
    <n v="676537.32789713936"/>
    <n v="2705071.7032736815"/>
  </r>
  <r>
    <x v="1"/>
    <x v="8"/>
    <x v="3"/>
    <x v="1"/>
    <x v="1"/>
    <x v="3"/>
    <x v="3"/>
    <x v="3"/>
    <x v="0"/>
    <x v="3"/>
    <x v="3"/>
    <x v="3"/>
    <x v="3"/>
    <n v="37.296999999999997"/>
    <n v="633.53572884216658"/>
    <n v="676538.1234023486"/>
    <n v="2705072.30922043"/>
  </r>
  <r>
    <x v="1"/>
    <x v="0"/>
    <x v="0"/>
    <x v="0"/>
    <x v="0"/>
    <x v="4"/>
    <x v="4"/>
    <x v="4"/>
    <x v="0"/>
    <x v="4"/>
    <x v="4"/>
    <x v="4"/>
    <x v="4"/>
    <n v="233.95699999999999"/>
    <n v="634.75902332608484"/>
    <n v="676586.41694070259"/>
    <n v="2705010.5269778967"/>
  </r>
  <r>
    <x v="1"/>
    <x v="1"/>
    <x v="0"/>
    <x v="1"/>
    <x v="0"/>
    <x v="4"/>
    <x v="4"/>
    <x v="4"/>
    <x v="0"/>
    <x v="4"/>
    <x v="4"/>
    <x v="4"/>
    <x v="4"/>
    <n v="233.95699999999999"/>
    <n v="634.50902332608484"/>
    <n v="676586.41694070259"/>
    <n v="2705010.5269778967"/>
  </r>
  <r>
    <x v="1"/>
    <x v="2"/>
    <x v="4"/>
    <x v="1"/>
    <x v="0"/>
    <x v="4"/>
    <x v="4"/>
    <x v="4"/>
    <x v="0"/>
    <x v="4"/>
    <x v="4"/>
    <x v="4"/>
    <x v="4"/>
    <n v="233.95699999999999"/>
    <n v="634.45302332608492"/>
    <n v="676587.00533294969"/>
    <n v="2705011.3355535353"/>
  </r>
  <r>
    <x v="1"/>
    <x v="6"/>
    <x v="5"/>
    <x v="3"/>
    <x v="0"/>
    <x v="4"/>
    <x v="4"/>
    <x v="4"/>
    <x v="0"/>
    <x v="4"/>
    <x v="4"/>
    <x v="4"/>
    <x v="4"/>
    <n v="233.95699999999999"/>
    <n v="633.76582332608496"/>
    <n v="676588.44689395523"/>
    <n v="2705013.3165638503"/>
  </r>
  <r>
    <x v="1"/>
    <x v="7"/>
    <x v="6"/>
    <x v="2"/>
    <x v="0"/>
    <x v="4"/>
    <x v="4"/>
    <x v="4"/>
    <x v="0"/>
    <x v="4"/>
    <x v="4"/>
    <x v="4"/>
    <x v="4"/>
    <n v="233.95699999999999"/>
    <n v="633.06302332608482"/>
    <n v="676588.4763135676"/>
    <n v="2705013.3569926322"/>
  </r>
  <r>
    <x v="1"/>
    <x v="3"/>
    <x v="7"/>
    <x v="2"/>
    <x v="1"/>
    <x v="4"/>
    <x v="4"/>
    <x v="4"/>
    <x v="0"/>
    <x v="4"/>
    <x v="4"/>
    <x v="4"/>
    <x v="4"/>
    <n v="53.957000000000001"/>
    <n v="632.8670233260849"/>
    <n v="676590.5356864325"/>
    <n v="2705016.1870073676"/>
  </r>
  <r>
    <x v="1"/>
    <x v="4"/>
    <x v="8"/>
    <x v="3"/>
    <x v="1"/>
    <x v="4"/>
    <x v="4"/>
    <x v="4"/>
    <x v="0"/>
    <x v="4"/>
    <x v="4"/>
    <x v="4"/>
    <x v="4"/>
    <n v="53.957000000000001"/>
    <n v="633.56422332608486"/>
    <n v="676590.56510604487"/>
    <n v="2705016.2274361495"/>
  </r>
  <r>
    <x v="1"/>
    <x v="5"/>
    <x v="9"/>
    <x v="1"/>
    <x v="1"/>
    <x v="4"/>
    <x v="4"/>
    <x v="4"/>
    <x v="0"/>
    <x v="4"/>
    <x v="4"/>
    <x v="4"/>
    <x v="4"/>
    <n v="53.957000000000001"/>
    <n v="633.9770233260848"/>
    <n v="676592.00666705042"/>
    <n v="2705018.2084464645"/>
  </r>
  <r>
    <x v="1"/>
    <x v="8"/>
    <x v="3"/>
    <x v="1"/>
    <x v="1"/>
    <x v="4"/>
    <x v="4"/>
    <x v="4"/>
    <x v="0"/>
    <x v="4"/>
    <x v="4"/>
    <x v="4"/>
    <x v="4"/>
    <n v="53.957000000000001"/>
    <n v="633.92102332608488"/>
    <n v="676592.59505929751"/>
    <n v="2705019.0170221031"/>
  </r>
  <r>
    <x v="1"/>
    <x v="0"/>
    <x v="0"/>
    <x v="0"/>
    <x v="0"/>
    <x v="5"/>
    <x v="5"/>
    <x v="5"/>
    <x v="0"/>
    <x v="5"/>
    <x v="5"/>
    <x v="5"/>
    <x v="5"/>
    <n v="239.083"/>
    <n v="634.87757432107821"/>
    <n v="676606.8195719322"/>
    <n v="2704997.0329593895"/>
  </r>
  <r>
    <x v="1"/>
    <x v="1"/>
    <x v="0"/>
    <x v="1"/>
    <x v="0"/>
    <x v="5"/>
    <x v="5"/>
    <x v="5"/>
    <x v="0"/>
    <x v="5"/>
    <x v="5"/>
    <x v="5"/>
    <x v="5"/>
    <n v="239.083"/>
    <n v="634.62757432107821"/>
    <n v="676606.8195719322"/>
    <n v="2704997.0329593895"/>
  </r>
  <r>
    <x v="1"/>
    <x v="2"/>
    <x v="4"/>
    <x v="1"/>
    <x v="0"/>
    <x v="5"/>
    <x v="5"/>
    <x v="5"/>
    <x v="0"/>
    <x v="5"/>
    <x v="5"/>
    <x v="5"/>
    <x v="5"/>
    <n v="239.083"/>
    <n v="634.57157432107829"/>
    <n v="676607.33336775471"/>
    <n v="2704997.8908718871"/>
  </r>
  <r>
    <x v="1"/>
    <x v="6"/>
    <x v="5"/>
    <x v="3"/>
    <x v="0"/>
    <x v="5"/>
    <x v="5"/>
    <x v="5"/>
    <x v="0"/>
    <x v="5"/>
    <x v="5"/>
    <x v="5"/>
    <x v="5"/>
    <n v="239.083"/>
    <n v="633.88437432107833"/>
    <n v="676608.59216751962"/>
    <n v="2704999.9927575053"/>
  </r>
  <r>
    <x v="1"/>
    <x v="7"/>
    <x v="6"/>
    <x v="2"/>
    <x v="0"/>
    <x v="5"/>
    <x v="5"/>
    <x v="5"/>
    <x v="0"/>
    <x v="5"/>
    <x v="5"/>
    <x v="5"/>
    <x v="5"/>
    <n v="239.083"/>
    <n v="633.18157432107819"/>
    <n v="676608.61785731069"/>
    <n v="2705000.0356531297"/>
  </r>
  <r>
    <x v="1"/>
    <x v="3"/>
    <x v="7"/>
    <x v="2"/>
    <x v="1"/>
    <x v="5"/>
    <x v="5"/>
    <x v="5"/>
    <x v="0"/>
    <x v="5"/>
    <x v="5"/>
    <x v="5"/>
    <x v="5"/>
    <n v="59.082999999999998"/>
    <n v="632.98557432107827"/>
    <n v="676610.4161426893"/>
    <n v="2705003.0383468703"/>
  </r>
  <r>
    <x v="1"/>
    <x v="4"/>
    <x v="8"/>
    <x v="3"/>
    <x v="1"/>
    <x v="5"/>
    <x v="5"/>
    <x v="5"/>
    <x v="0"/>
    <x v="5"/>
    <x v="5"/>
    <x v="5"/>
    <x v="5"/>
    <n v="59.082999999999998"/>
    <n v="633.68277432107823"/>
    <n v="676610.44183248037"/>
    <n v="2705003.0812424948"/>
  </r>
  <r>
    <x v="1"/>
    <x v="5"/>
    <x v="9"/>
    <x v="1"/>
    <x v="1"/>
    <x v="5"/>
    <x v="5"/>
    <x v="5"/>
    <x v="0"/>
    <x v="5"/>
    <x v="5"/>
    <x v="5"/>
    <x v="5"/>
    <n v="59.082999999999998"/>
    <n v="634.09557432107817"/>
    <n v="676611.70063224528"/>
    <n v="2705005.1831281129"/>
  </r>
  <r>
    <x v="1"/>
    <x v="8"/>
    <x v="3"/>
    <x v="1"/>
    <x v="1"/>
    <x v="5"/>
    <x v="5"/>
    <x v="5"/>
    <x v="0"/>
    <x v="5"/>
    <x v="5"/>
    <x v="5"/>
    <x v="5"/>
    <n v="59.082999999999998"/>
    <n v="634.03957432107825"/>
    <n v="676612.21442806779"/>
    <n v="2705006.0410406105"/>
  </r>
  <r>
    <x v="1"/>
    <x v="9"/>
    <x v="3"/>
    <x v="0"/>
    <x v="1"/>
    <x v="2"/>
    <x v="2"/>
    <x v="2"/>
    <x v="0"/>
    <x v="2"/>
    <x v="2"/>
    <x v="2"/>
    <x v="2"/>
    <n v="32.170999999999999"/>
    <n v="633.66717784717309"/>
    <n v="676524.72192954598"/>
    <n v="2705091.640351533"/>
  </r>
  <r>
    <x v="1"/>
    <x v="9"/>
    <x v="3"/>
    <x v="0"/>
    <x v="1"/>
    <x v="3"/>
    <x v="3"/>
    <x v="3"/>
    <x v="0"/>
    <x v="3"/>
    <x v="3"/>
    <x v="3"/>
    <x v="3"/>
    <n v="37.296999999999997"/>
    <n v="633.78572884216658"/>
    <n v="676538.1234023486"/>
    <n v="2705072.30922043"/>
  </r>
  <r>
    <x v="1"/>
    <x v="9"/>
    <x v="3"/>
    <x v="0"/>
    <x v="1"/>
    <x v="4"/>
    <x v="4"/>
    <x v="4"/>
    <x v="0"/>
    <x v="4"/>
    <x v="4"/>
    <x v="4"/>
    <x v="4"/>
    <n v="53.957000000000001"/>
    <n v="634.17102332608488"/>
    <n v="676592.59505929751"/>
    <n v="2705019.0170221031"/>
  </r>
  <r>
    <x v="1"/>
    <x v="9"/>
    <x v="3"/>
    <x v="0"/>
    <x v="1"/>
    <x v="5"/>
    <x v="5"/>
    <x v="5"/>
    <x v="0"/>
    <x v="5"/>
    <x v="5"/>
    <x v="5"/>
    <x v="5"/>
    <n v="59.082999999999998"/>
    <n v="634.28957432107825"/>
    <n v="676612.21442806779"/>
    <n v="2705006.0410406105"/>
  </r>
  <r>
    <x v="2"/>
    <x v="0"/>
    <x v="0"/>
    <x v="0"/>
    <x v="0"/>
    <x v="6"/>
    <x v="6"/>
    <x v="6"/>
    <x v="0"/>
    <x v="6"/>
    <x v="6"/>
    <x v="6"/>
    <x v="6"/>
    <n v="223.27699999999999"/>
    <n v="634.512040836452"/>
    <n v="676548.22174797824"/>
    <n v="2705044.1799877076"/>
  </r>
  <r>
    <x v="2"/>
    <x v="0"/>
    <x v="0"/>
    <x v="0"/>
    <x v="0"/>
    <x v="7"/>
    <x v="7"/>
    <x v="7"/>
    <x v="0"/>
    <x v="7"/>
    <x v="7"/>
    <x v="7"/>
    <x v="7"/>
    <n v="227.976"/>
    <n v="634.62071133179938"/>
    <n v="676564.25143036398"/>
    <n v="2705028.4979615035"/>
  </r>
  <r>
    <x v="2"/>
    <x v="1"/>
    <x v="0"/>
    <x v="1"/>
    <x v="0"/>
    <x v="6"/>
    <x v="6"/>
    <x v="6"/>
    <x v="0"/>
    <x v="6"/>
    <x v="6"/>
    <x v="6"/>
    <x v="6"/>
    <n v="223.27699999999999"/>
    <n v="634.262040836452"/>
    <n v="676548.22174797824"/>
    <n v="2705044.1799877076"/>
  </r>
  <r>
    <x v="2"/>
    <x v="1"/>
    <x v="0"/>
    <x v="1"/>
    <x v="0"/>
    <x v="7"/>
    <x v="7"/>
    <x v="7"/>
    <x v="0"/>
    <x v="7"/>
    <x v="7"/>
    <x v="7"/>
    <x v="7"/>
    <n v="227.976"/>
    <n v="634.37071133179938"/>
    <n v="676564.25143036398"/>
    <n v="2705028.4979615035"/>
  </r>
  <r>
    <x v="2"/>
    <x v="2"/>
    <x v="4"/>
    <x v="1"/>
    <x v="0"/>
    <x v="6"/>
    <x v="6"/>
    <x v="6"/>
    <x v="0"/>
    <x v="6"/>
    <x v="6"/>
    <x v="6"/>
    <x v="6"/>
    <n v="223.27699999999999"/>
    <n v="634.20604083645208"/>
    <n v="676548.94979598233"/>
    <n v="2705044.8655138584"/>
  </r>
  <r>
    <x v="2"/>
    <x v="2"/>
    <x v="4"/>
    <x v="1"/>
    <x v="0"/>
    <x v="7"/>
    <x v="7"/>
    <x v="7"/>
    <x v="0"/>
    <x v="7"/>
    <x v="7"/>
    <x v="7"/>
    <x v="7"/>
    <n v="227.976"/>
    <n v="634.31471133179946"/>
    <n v="676564.92087219935"/>
    <n v="2705029.240825979"/>
  </r>
  <r>
    <x v="2"/>
    <x v="6"/>
    <x v="5"/>
    <x v="3"/>
    <x v="0"/>
    <x v="6"/>
    <x v="6"/>
    <x v="6"/>
    <x v="0"/>
    <x v="6"/>
    <x v="6"/>
    <x v="6"/>
    <x v="6"/>
    <n v="223.27699999999999"/>
    <n v="633.51884083645211"/>
    <n v="676550.73351359251"/>
    <n v="2705046.5450529284"/>
  </r>
  <r>
    <x v="2"/>
    <x v="6"/>
    <x v="5"/>
    <x v="3"/>
    <x v="0"/>
    <x v="7"/>
    <x v="7"/>
    <x v="7"/>
    <x v="0"/>
    <x v="7"/>
    <x v="7"/>
    <x v="7"/>
    <x v="7"/>
    <n v="227.976"/>
    <n v="633.6275113317995"/>
    <n v="676566.56100469618"/>
    <n v="2705031.0608439441"/>
  </r>
  <r>
    <x v="2"/>
    <x v="7"/>
    <x v="6"/>
    <x v="2"/>
    <x v="0"/>
    <x v="6"/>
    <x v="6"/>
    <x v="6"/>
    <x v="0"/>
    <x v="6"/>
    <x v="6"/>
    <x v="6"/>
    <x v="6"/>
    <n v="223.27699999999999"/>
    <n v="632.81604083645198"/>
    <n v="676550.76991599274"/>
    <n v="2705046.5793292359"/>
  </r>
  <r>
    <x v="2"/>
    <x v="7"/>
    <x v="6"/>
    <x v="2"/>
    <x v="0"/>
    <x v="7"/>
    <x v="7"/>
    <x v="7"/>
    <x v="0"/>
    <x v="7"/>
    <x v="7"/>
    <x v="7"/>
    <x v="7"/>
    <n v="227.976"/>
    <n v="632.92471133179936"/>
    <n v="676566.59447678796"/>
    <n v="2705031.097987168"/>
  </r>
  <r>
    <x v="2"/>
    <x v="3"/>
    <x v="7"/>
    <x v="2"/>
    <x v="1"/>
    <x v="6"/>
    <x v="6"/>
    <x v="6"/>
    <x v="0"/>
    <x v="6"/>
    <x v="6"/>
    <x v="6"/>
    <x v="6"/>
    <n v="43.277000000000001"/>
    <n v="632.62004083645206"/>
    <n v="676553.31808400725"/>
    <n v="2705048.9786707642"/>
  </r>
  <r>
    <x v="2"/>
    <x v="3"/>
    <x v="7"/>
    <x v="2"/>
    <x v="1"/>
    <x v="7"/>
    <x v="7"/>
    <x v="7"/>
    <x v="0"/>
    <x v="7"/>
    <x v="7"/>
    <x v="7"/>
    <x v="7"/>
    <n v="47.975999999999999"/>
    <n v="632.72871133179945"/>
    <n v="676568.93752321193"/>
    <n v="2705033.6980128321"/>
  </r>
  <r>
    <x v="2"/>
    <x v="4"/>
    <x v="8"/>
    <x v="3"/>
    <x v="1"/>
    <x v="6"/>
    <x v="6"/>
    <x v="6"/>
    <x v="0"/>
    <x v="6"/>
    <x v="6"/>
    <x v="6"/>
    <x v="6"/>
    <n v="43.277000000000001"/>
    <n v="633.31724083645202"/>
    <n v="676553.35448640748"/>
    <n v="2705049.0129470718"/>
  </r>
  <r>
    <x v="2"/>
    <x v="4"/>
    <x v="8"/>
    <x v="3"/>
    <x v="1"/>
    <x v="7"/>
    <x v="7"/>
    <x v="7"/>
    <x v="0"/>
    <x v="7"/>
    <x v="7"/>
    <x v="7"/>
    <x v="7"/>
    <n v="47.975999999999999"/>
    <n v="633.4259113317994"/>
    <n v="676568.97099530371"/>
    <n v="2705033.735156056"/>
  </r>
  <r>
    <x v="2"/>
    <x v="5"/>
    <x v="9"/>
    <x v="1"/>
    <x v="1"/>
    <x v="6"/>
    <x v="6"/>
    <x v="6"/>
    <x v="0"/>
    <x v="6"/>
    <x v="6"/>
    <x v="6"/>
    <x v="6"/>
    <n v="43.277000000000001"/>
    <n v="633.73004083645196"/>
    <n v="676555.13820401765"/>
    <n v="2705050.6924861418"/>
  </r>
  <r>
    <x v="2"/>
    <x v="5"/>
    <x v="9"/>
    <x v="1"/>
    <x v="1"/>
    <x v="7"/>
    <x v="7"/>
    <x v="7"/>
    <x v="0"/>
    <x v="7"/>
    <x v="7"/>
    <x v="7"/>
    <x v="7"/>
    <n v="47.975999999999999"/>
    <n v="633.83871133179935"/>
    <n v="676570.61112780054"/>
    <n v="2705035.5551740211"/>
  </r>
  <r>
    <x v="2"/>
    <x v="8"/>
    <x v="3"/>
    <x v="1"/>
    <x v="1"/>
    <x v="6"/>
    <x v="6"/>
    <x v="6"/>
    <x v="0"/>
    <x v="6"/>
    <x v="6"/>
    <x v="6"/>
    <x v="6"/>
    <n v="43.277000000000001"/>
    <n v="633.67404083645204"/>
    <n v="676555.86625202175"/>
    <n v="2705051.3780122926"/>
  </r>
  <r>
    <x v="2"/>
    <x v="8"/>
    <x v="3"/>
    <x v="1"/>
    <x v="1"/>
    <x v="7"/>
    <x v="7"/>
    <x v="7"/>
    <x v="0"/>
    <x v="7"/>
    <x v="7"/>
    <x v="7"/>
    <x v="7"/>
    <n v="47.975999999999999"/>
    <n v="633.78271133179942"/>
    <n v="676571.28056963591"/>
    <n v="2705036.2980384966"/>
  </r>
  <r>
    <x v="2"/>
    <x v="9"/>
    <x v="3"/>
    <x v="0"/>
    <x v="1"/>
    <x v="6"/>
    <x v="6"/>
    <x v="6"/>
    <x v="0"/>
    <x v="6"/>
    <x v="6"/>
    <x v="6"/>
    <x v="6"/>
    <n v="43.277000000000001"/>
    <n v="633.92404083645204"/>
    <n v="676555.86625202175"/>
    <n v="2705051.3780122926"/>
  </r>
  <r>
    <x v="2"/>
    <x v="9"/>
    <x v="3"/>
    <x v="0"/>
    <x v="1"/>
    <x v="7"/>
    <x v="7"/>
    <x v="7"/>
    <x v="0"/>
    <x v="7"/>
    <x v="7"/>
    <x v="7"/>
    <x v="7"/>
    <n v="47.975999999999999"/>
    <n v="634.03271133179942"/>
    <n v="676571.28056963591"/>
    <n v="2705036.2980384966"/>
  </r>
  <r>
    <x v="3"/>
    <x v="0"/>
    <x v="0"/>
    <x v="0"/>
    <x v="0"/>
    <x v="8"/>
    <x v="8"/>
    <x v="8"/>
    <x v="0"/>
    <x v="8"/>
    <x v="8"/>
    <x v="8"/>
    <x v="8"/>
    <n v="209.821"/>
    <n v="634.20084009937295"/>
    <n v="676510.05818796577"/>
    <n v="2705095.6622171034"/>
  </r>
  <r>
    <x v="3"/>
    <x v="0"/>
    <x v="0"/>
    <x v="0"/>
    <x v="0"/>
    <x v="9"/>
    <x v="9"/>
    <x v="9"/>
    <x v="0"/>
    <x v="9"/>
    <x v="9"/>
    <x v="9"/>
    <x v="9"/>
    <n v="214.73400000000001"/>
    <n v="634.31445084454333"/>
    <n v="676522.57751808513"/>
    <n v="2705075.8417217103"/>
  </r>
  <r>
    <x v="3"/>
    <x v="0"/>
    <x v="0"/>
    <x v="0"/>
    <x v="0"/>
    <x v="10"/>
    <x v="10"/>
    <x v="10"/>
    <x v="0"/>
    <x v="10"/>
    <x v="10"/>
    <x v="10"/>
    <x v="10"/>
    <n v="220.28700000000001"/>
    <n v="634.4428823391828"/>
    <n v="676538.71222092444"/>
    <n v="2705054.8222622261"/>
  </r>
  <r>
    <x v="3"/>
    <x v="0"/>
    <x v="0"/>
    <x v="0"/>
    <x v="0"/>
    <x v="11"/>
    <x v="11"/>
    <x v="11"/>
    <x v="0"/>
    <x v="11"/>
    <x v="11"/>
    <x v="11"/>
    <x v="11"/>
    <n v="225.62700000000001"/>
    <n v="634.56637358399928"/>
    <n v="676556.07553547854"/>
    <n v="2705036.1742878784"/>
  </r>
  <r>
    <x v="3"/>
    <x v="0"/>
    <x v="0"/>
    <x v="0"/>
    <x v="0"/>
    <x v="12"/>
    <x v="12"/>
    <x v="12"/>
    <x v="0"/>
    <x v="12"/>
    <x v="12"/>
    <x v="12"/>
    <x v="12"/>
    <n v="230.96699999999998"/>
    <n v="634.68986982906858"/>
    <n v="676575.09971857443"/>
    <n v="2705019.2228873074"/>
  </r>
  <r>
    <x v="3"/>
    <x v="0"/>
    <x v="0"/>
    <x v="0"/>
    <x v="0"/>
    <x v="13"/>
    <x v="13"/>
    <x v="13"/>
    <x v="0"/>
    <x v="13"/>
    <x v="13"/>
    <x v="13"/>
    <x v="13"/>
    <n v="236.52"/>
    <n v="634.81830132370794"/>
    <n v="676596.4668591792"/>
    <n v="2705003.5520882234"/>
  </r>
  <r>
    <x v="3"/>
    <x v="0"/>
    <x v="0"/>
    <x v="0"/>
    <x v="0"/>
    <x v="14"/>
    <x v="14"/>
    <x v="14"/>
    <x v="0"/>
    <x v="14"/>
    <x v="1"/>
    <x v="1"/>
    <x v="14"/>
    <n v="241.43299999999999"/>
    <n v="634.91684734710009"/>
    <n v="676626.32252299238"/>
    <n v="2704986.4091426833"/>
  </r>
  <r>
    <x v="3"/>
    <x v="0"/>
    <x v="0"/>
    <x v="0"/>
    <x v="0"/>
    <x v="15"/>
    <x v="15"/>
    <x v="15"/>
    <x v="0"/>
    <x v="15"/>
    <x v="14"/>
    <x v="14"/>
    <x v="15"/>
    <n v="207.46600000000001"/>
    <n v="634.14255215181549"/>
    <n v="676504.31275540835"/>
    <n v="2705106.214583612"/>
  </r>
  <r>
    <x v="3"/>
    <x v="0"/>
    <x v="0"/>
    <x v="0"/>
    <x v="0"/>
    <x v="16"/>
    <x v="16"/>
    <x v="16"/>
    <x v="0"/>
    <x v="16"/>
    <x v="15"/>
    <x v="15"/>
    <x v="1"/>
    <n v="243.79"/>
    <n v="634.9016381677751"/>
    <n v="676627.23227215221"/>
    <n v="2704985.957798182"/>
  </r>
  <r>
    <x v="3"/>
    <x v="1"/>
    <x v="0"/>
    <x v="1"/>
    <x v="0"/>
    <x v="8"/>
    <x v="8"/>
    <x v="8"/>
    <x v="0"/>
    <x v="8"/>
    <x v="8"/>
    <x v="8"/>
    <x v="8"/>
    <n v="209.821"/>
    <n v="633.95084009937295"/>
    <n v="676510.05818796577"/>
    <n v="2705095.6622171034"/>
  </r>
  <r>
    <x v="3"/>
    <x v="1"/>
    <x v="0"/>
    <x v="1"/>
    <x v="0"/>
    <x v="9"/>
    <x v="9"/>
    <x v="9"/>
    <x v="0"/>
    <x v="9"/>
    <x v="9"/>
    <x v="9"/>
    <x v="9"/>
    <n v="214.73400000000001"/>
    <n v="634.06445084454333"/>
    <n v="676522.57751808513"/>
    <n v="2705075.8417217103"/>
  </r>
  <r>
    <x v="3"/>
    <x v="1"/>
    <x v="0"/>
    <x v="1"/>
    <x v="0"/>
    <x v="10"/>
    <x v="10"/>
    <x v="10"/>
    <x v="0"/>
    <x v="10"/>
    <x v="10"/>
    <x v="10"/>
    <x v="10"/>
    <n v="220.28700000000001"/>
    <n v="634.1928823391828"/>
    <n v="676538.71222092444"/>
    <n v="2705054.8222622261"/>
  </r>
  <r>
    <x v="3"/>
    <x v="1"/>
    <x v="0"/>
    <x v="1"/>
    <x v="0"/>
    <x v="11"/>
    <x v="11"/>
    <x v="11"/>
    <x v="0"/>
    <x v="11"/>
    <x v="11"/>
    <x v="11"/>
    <x v="11"/>
    <n v="225.62700000000001"/>
    <n v="634.31637358399928"/>
    <n v="676556.07553547854"/>
    <n v="2705036.1742878784"/>
  </r>
  <r>
    <x v="3"/>
    <x v="1"/>
    <x v="0"/>
    <x v="1"/>
    <x v="0"/>
    <x v="12"/>
    <x v="12"/>
    <x v="12"/>
    <x v="0"/>
    <x v="12"/>
    <x v="12"/>
    <x v="12"/>
    <x v="12"/>
    <n v="230.96699999999998"/>
    <n v="634.43986982906858"/>
    <n v="676575.09971857443"/>
    <n v="2705019.2228873074"/>
  </r>
  <r>
    <x v="3"/>
    <x v="1"/>
    <x v="0"/>
    <x v="1"/>
    <x v="0"/>
    <x v="13"/>
    <x v="13"/>
    <x v="13"/>
    <x v="0"/>
    <x v="13"/>
    <x v="13"/>
    <x v="13"/>
    <x v="13"/>
    <n v="236.52"/>
    <n v="634.56830132370794"/>
    <n v="676596.4668591792"/>
    <n v="2705003.5520882234"/>
  </r>
  <r>
    <x v="3"/>
    <x v="1"/>
    <x v="0"/>
    <x v="1"/>
    <x v="0"/>
    <x v="14"/>
    <x v="14"/>
    <x v="14"/>
    <x v="0"/>
    <x v="14"/>
    <x v="1"/>
    <x v="1"/>
    <x v="14"/>
    <n v="241.43299999999999"/>
    <n v="634.66684734710009"/>
    <n v="676626.32252299238"/>
    <n v="2704986.4091426833"/>
  </r>
  <r>
    <x v="3"/>
    <x v="1"/>
    <x v="0"/>
    <x v="1"/>
    <x v="0"/>
    <x v="15"/>
    <x v="15"/>
    <x v="15"/>
    <x v="0"/>
    <x v="15"/>
    <x v="14"/>
    <x v="14"/>
    <x v="15"/>
    <n v="207.46600000000001"/>
    <n v="633.89255215181549"/>
    <n v="676504.31275540835"/>
    <n v="2705106.214583612"/>
  </r>
  <r>
    <x v="3"/>
    <x v="1"/>
    <x v="0"/>
    <x v="1"/>
    <x v="0"/>
    <x v="16"/>
    <x v="16"/>
    <x v="16"/>
    <x v="0"/>
    <x v="16"/>
    <x v="15"/>
    <x v="15"/>
    <x v="1"/>
    <n v="243.79"/>
    <n v="634.6516381677751"/>
    <n v="676627.23227215221"/>
    <n v="2704985.957798182"/>
  </r>
  <r>
    <x v="3"/>
    <x v="2"/>
    <x v="4"/>
    <x v="1"/>
    <x v="0"/>
    <x v="8"/>
    <x v="8"/>
    <x v="8"/>
    <x v="0"/>
    <x v="8"/>
    <x v="8"/>
    <x v="8"/>
    <x v="8"/>
    <n v="209.821"/>
    <n v="633.89484009937303"/>
    <n v="676510.92577121034"/>
    <n v="2705096.1595090837"/>
  </r>
  <r>
    <x v="3"/>
    <x v="2"/>
    <x v="4"/>
    <x v="1"/>
    <x v="0"/>
    <x v="9"/>
    <x v="9"/>
    <x v="9"/>
    <x v="0"/>
    <x v="9"/>
    <x v="9"/>
    <x v="9"/>
    <x v="9"/>
    <n v="214.73400000000001"/>
    <n v="634.0084508445434"/>
    <n v="676523.39932416414"/>
    <n v="2705076.4114890038"/>
  </r>
  <r>
    <x v="3"/>
    <x v="2"/>
    <x v="4"/>
    <x v="1"/>
    <x v="0"/>
    <x v="10"/>
    <x v="10"/>
    <x v="10"/>
    <x v="0"/>
    <x v="10"/>
    <x v="10"/>
    <x v="10"/>
    <x v="10"/>
    <n v="220.28700000000001"/>
    <n v="634.13688233918288"/>
    <n v="676539.4750359864"/>
    <n v="2705055.4688789449"/>
  </r>
  <r>
    <x v="3"/>
    <x v="2"/>
    <x v="4"/>
    <x v="1"/>
    <x v="0"/>
    <x v="11"/>
    <x v="11"/>
    <x v="11"/>
    <x v="0"/>
    <x v="11"/>
    <x v="11"/>
    <x v="11"/>
    <x v="11"/>
    <n v="225.62700000000001"/>
    <n v="634.26037358399935"/>
    <n v="676556.77486205404"/>
    <n v="2705036.8890901874"/>
  </r>
  <r>
    <x v="3"/>
    <x v="2"/>
    <x v="4"/>
    <x v="1"/>
    <x v="0"/>
    <x v="12"/>
    <x v="12"/>
    <x v="12"/>
    <x v="0"/>
    <x v="12"/>
    <x v="12"/>
    <x v="12"/>
    <x v="12"/>
    <n v="230.96699999999998"/>
    <n v="634.38386982906866"/>
    <n v="676575.72948646499"/>
    <n v="2705019.9996706774"/>
  </r>
  <r>
    <x v="3"/>
    <x v="2"/>
    <x v="4"/>
    <x v="1"/>
    <x v="0"/>
    <x v="13"/>
    <x v="13"/>
    <x v="13"/>
    <x v="0"/>
    <x v="13"/>
    <x v="13"/>
    <x v="13"/>
    <x v="13"/>
    <n v="236.52"/>
    <n v="634.51230132370802"/>
    <n v="676597.01850504987"/>
    <n v="2705004.3861666569"/>
  </r>
  <r>
    <x v="3"/>
    <x v="2"/>
    <x v="4"/>
    <x v="1"/>
    <x v="0"/>
    <x v="14"/>
    <x v="14"/>
    <x v="14"/>
    <x v="0"/>
    <x v="14"/>
    <x v="1"/>
    <x v="1"/>
    <x v="14"/>
    <n v="241.43299999999999"/>
    <n v="634.61084734710016"/>
    <n v="676626.80070908915"/>
    <n v="2704987.2874012198"/>
  </r>
  <r>
    <x v="3"/>
    <x v="2"/>
    <x v="4"/>
    <x v="1"/>
    <x v="0"/>
    <x v="15"/>
    <x v="15"/>
    <x v="15"/>
    <x v="0"/>
    <x v="15"/>
    <x v="14"/>
    <x v="14"/>
    <x v="15"/>
    <n v="207.46600000000001"/>
    <n v="633.83655215181557"/>
    <n v="676505.20004009246"/>
    <n v="2705106.675805781"/>
  </r>
  <r>
    <x v="3"/>
    <x v="2"/>
    <x v="4"/>
    <x v="1"/>
    <x v="0"/>
    <x v="16"/>
    <x v="16"/>
    <x v="16"/>
    <x v="0"/>
    <x v="16"/>
    <x v="15"/>
    <x v="15"/>
    <x v="1"/>
    <n v="243.79"/>
    <n v="634.59563816777518"/>
    <n v="676627.67393459938"/>
    <n v="2704986.8549794806"/>
  </r>
  <r>
    <x v="3"/>
    <x v="6"/>
    <x v="5"/>
    <x v="3"/>
    <x v="0"/>
    <x v="8"/>
    <x v="8"/>
    <x v="8"/>
    <x v="0"/>
    <x v="8"/>
    <x v="8"/>
    <x v="8"/>
    <x v="8"/>
    <n v="209.821"/>
    <n v="633.20764009937307"/>
    <n v="676513.05135015969"/>
    <n v="2705097.3778744354"/>
  </r>
  <r>
    <x v="3"/>
    <x v="6"/>
    <x v="5"/>
    <x v="3"/>
    <x v="0"/>
    <x v="9"/>
    <x v="9"/>
    <x v="9"/>
    <x v="0"/>
    <x v="9"/>
    <x v="9"/>
    <x v="9"/>
    <x v="9"/>
    <n v="214.73400000000001"/>
    <n v="633.32125084454344"/>
    <n v="676525.41274905775"/>
    <n v="2705077.8074188721"/>
  </r>
  <r>
    <x v="3"/>
    <x v="6"/>
    <x v="5"/>
    <x v="3"/>
    <x v="0"/>
    <x v="10"/>
    <x v="10"/>
    <x v="10"/>
    <x v="0"/>
    <x v="10"/>
    <x v="10"/>
    <x v="10"/>
    <x v="10"/>
    <n v="220.28700000000001"/>
    <n v="633.44968233918291"/>
    <n v="676541.34393288835"/>
    <n v="2705057.053089906"/>
  </r>
  <r>
    <x v="3"/>
    <x v="6"/>
    <x v="5"/>
    <x v="3"/>
    <x v="0"/>
    <x v="11"/>
    <x v="11"/>
    <x v="11"/>
    <x v="0"/>
    <x v="11"/>
    <x v="11"/>
    <x v="11"/>
    <x v="11"/>
    <n v="225.62700000000001"/>
    <n v="633.57317358399939"/>
    <n v="676558.48821216403"/>
    <n v="2705038.6403558441"/>
  </r>
  <r>
    <x v="3"/>
    <x v="6"/>
    <x v="5"/>
    <x v="3"/>
    <x v="0"/>
    <x v="12"/>
    <x v="12"/>
    <x v="12"/>
    <x v="0"/>
    <x v="12"/>
    <x v="12"/>
    <x v="12"/>
    <x v="12"/>
    <n v="230.96699999999998"/>
    <n v="633.6966698290687"/>
    <n v="676577.27241779689"/>
    <n v="2705021.9027899341"/>
  </r>
  <r>
    <x v="3"/>
    <x v="6"/>
    <x v="5"/>
    <x v="3"/>
    <x v="0"/>
    <x v="13"/>
    <x v="13"/>
    <x v="13"/>
    <x v="0"/>
    <x v="13"/>
    <x v="13"/>
    <x v="13"/>
    <x v="13"/>
    <n v="236.52"/>
    <n v="633.82510132370805"/>
    <n v="676598.37003743288"/>
    <n v="2705006.4296588195"/>
  </r>
  <r>
    <x v="3"/>
    <x v="6"/>
    <x v="5"/>
    <x v="3"/>
    <x v="0"/>
    <x v="14"/>
    <x v="14"/>
    <x v="14"/>
    <x v="0"/>
    <x v="14"/>
    <x v="1"/>
    <x v="1"/>
    <x v="14"/>
    <n v="241.43299999999999"/>
    <n v="633.9236473471002"/>
    <n v="676627.97226502595"/>
    <n v="2704989.4391346341"/>
  </r>
  <r>
    <x v="3"/>
    <x v="6"/>
    <x v="5"/>
    <x v="3"/>
    <x v="0"/>
    <x v="15"/>
    <x v="15"/>
    <x v="15"/>
    <x v="0"/>
    <x v="15"/>
    <x v="14"/>
    <x v="14"/>
    <x v="15"/>
    <n v="207.46600000000001"/>
    <n v="633.14935215181561"/>
    <n v="676507.3738875686"/>
    <n v="2705107.8058000957"/>
  </r>
  <r>
    <x v="3"/>
    <x v="6"/>
    <x v="5"/>
    <x v="3"/>
    <x v="0"/>
    <x v="16"/>
    <x v="16"/>
    <x v="16"/>
    <x v="0"/>
    <x v="16"/>
    <x v="15"/>
    <x v="15"/>
    <x v="1"/>
    <n v="243.79"/>
    <n v="633.90843816777522"/>
    <n v="676628.75600759499"/>
    <n v="2704989.0530736623"/>
  </r>
  <r>
    <x v="3"/>
    <x v="7"/>
    <x v="6"/>
    <x v="2"/>
    <x v="0"/>
    <x v="8"/>
    <x v="8"/>
    <x v="8"/>
    <x v="0"/>
    <x v="8"/>
    <x v="8"/>
    <x v="8"/>
    <x v="8"/>
    <n v="209.821"/>
    <n v="632.50484009937293"/>
    <n v="676513.09472932189"/>
    <n v="2705097.4027390345"/>
  </r>
  <r>
    <x v="3"/>
    <x v="7"/>
    <x v="6"/>
    <x v="2"/>
    <x v="0"/>
    <x v="9"/>
    <x v="9"/>
    <x v="9"/>
    <x v="0"/>
    <x v="9"/>
    <x v="9"/>
    <x v="9"/>
    <x v="9"/>
    <n v="214.73400000000001"/>
    <n v="632.6184508445433"/>
    <n v="676525.45383936167"/>
    <n v="2705077.8359072367"/>
  </r>
  <r>
    <x v="3"/>
    <x v="7"/>
    <x v="6"/>
    <x v="2"/>
    <x v="0"/>
    <x v="10"/>
    <x v="10"/>
    <x v="10"/>
    <x v="0"/>
    <x v="10"/>
    <x v="10"/>
    <x v="10"/>
    <x v="10"/>
    <n v="220.28700000000001"/>
    <n v="632.74688233918278"/>
    <n v="676541.38207364141"/>
    <n v="2705057.0854207422"/>
  </r>
  <r>
    <x v="3"/>
    <x v="7"/>
    <x v="6"/>
    <x v="2"/>
    <x v="0"/>
    <x v="11"/>
    <x v="11"/>
    <x v="11"/>
    <x v="0"/>
    <x v="11"/>
    <x v="11"/>
    <x v="11"/>
    <x v="11"/>
    <n v="225.62700000000001"/>
    <n v="632.87037358399925"/>
    <n v="676558.52317849279"/>
    <n v="2705038.6760959597"/>
  </r>
  <r>
    <x v="3"/>
    <x v="7"/>
    <x v="6"/>
    <x v="2"/>
    <x v="0"/>
    <x v="12"/>
    <x v="12"/>
    <x v="12"/>
    <x v="0"/>
    <x v="12"/>
    <x v="12"/>
    <x v="12"/>
    <x v="12"/>
    <n v="230.96699999999998"/>
    <n v="632.99386982906856"/>
    <n v="676577.30390619149"/>
    <n v="2705021.9416291025"/>
  </r>
  <r>
    <x v="3"/>
    <x v="7"/>
    <x v="6"/>
    <x v="2"/>
    <x v="0"/>
    <x v="13"/>
    <x v="13"/>
    <x v="13"/>
    <x v="0"/>
    <x v="13"/>
    <x v="13"/>
    <x v="13"/>
    <x v="13"/>
    <n v="236.52"/>
    <n v="633.12230132370792"/>
    <n v="676598.39761972637"/>
    <n v="2705006.4713627412"/>
  </r>
  <r>
    <x v="3"/>
    <x v="7"/>
    <x v="6"/>
    <x v="2"/>
    <x v="0"/>
    <x v="14"/>
    <x v="14"/>
    <x v="14"/>
    <x v="0"/>
    <x v="14"/>
    <x v="1"/>
    <x v="1"/>
    <x v="14"/>
    <n v="241.43299999999999"/>
    <n v="633.22084734710006"/>
    <n v="676627.99617433082"/>
    <n v="2704989.4830475613"/>
  </r>
  <r>
    <x v="3"/>
    <x v="7"/>
    <x v="6"/>
    <x v="2"/>
    <x v="0"/>
    <x v="15"/>
    <x v="15"/>
    <x v="15"/>
    <x v="0"/>
    <x v="15"/>
    <x v="14"/>
    <x v="14"/>
    <x v="15"/>
    <n v="207.46600000000001"/>
    <n v="632.44655215181547"/>
    <n v="676507.4182518028"/>
    <n v="2705107.828861204"/>
  </r>
  <r>
    <x v="3"/>
    <x v="7"/>
    <x v="6"/>
    <x v="2"/>
    <x v="0"/>
    <x v="16"/>
    <x v="16"/>
    <x v="16"/>
    <x v="0"/>
    <x v="16"/>
    <x v="15"/>
    <x v="15"/>
    <x v="1"/>
    <n v="243.79"/>
    <n v="633.20563816777508"/>
    <n v="676628.77809071739"/>
    <n v="2704989.0979327275"/>
  </r>
  <r>
    <x v="3"/>
    <x v="3"/>
    <x v="7"/>
    <x v="2"/>
    <x v="1"/>
    <x v="8"/>
    <x v="8"/>
    <x v="8"/>
    <x v="0"/>
    <x v="8"/>
    <x v="8"/>
    <x v="8"/>
    <x v="8"/>
    <n v="29.821000000000002"/>
    <n v="632.30884009937301"/>
    <n v="676516.13127067813"/>
    <n v="2705099.1432609656"/>
  </r>
  <r>
    <x v="3"/>
    <x v="3"/>
    <x v="7"/>
    <x v="2"/>
    <x v="1"/>
    <x v="9"/>
    <x v="9"/>
    <x v="9"/>
    <x v="0"/>
    <x v="9"/>
    <x v="9"/>
    <x v="9"/>
    <x v="9"/>
    <n v="34.734000000000002"/>
    <n v="632.42245084454339"/>
    <n v="676528.33016063832"/>
    <n v="2705079.8300927635"/>
  </r>
  <r>
    <x v="3"/>
    <x v="3"/>
    <x v="7"/>
    <x v="2"/>
    <x v="1"/>
    <x v="10"/>
    <x v="10"/>
    <x v="10"/>
    <x v="0"/>
    <x v="10"/>
    <x v="10"/>
    <x v="10"/>
    <x v="10"/>
    <n v="40.286999999999999"/>
    <n v="632.55088233918286"/>
    <n v="676544.05192635849"/>
    <n v="2705059.3485792582"/>
  </r>
  <r>
    <x v="3"/>
    <x v="3"/>
    <x v="7"/>
    <x v="2"/>
    <x v="1"/>
    <x v="11"/>
    <x v="11"/>
    <x v="11"/>
    <x v="0"/>
    <x v="11"/>
    <x v="11"/>
    <x v="11"/>
    <x v="11"/>
    <n v="45.627000000000002"/>
    <n v="632.67437358399934"/>
    <n v="676560.97082150716"/>
    <n v="2705041.1779040406"/>
  </r>
  <r>
    <x v="3"/>
    <x v="3"/>
    <x v="7"/>
    <x v="2"/>
    <x v="1"/>
    <x v="12"/>
    <x v="12"/>
    <x v="12"/>
    <x v="0"/>
    <x v="12"/>
    <x v="12"/>
    <x v="12"/>
    <x v="12"/>
    <n v="50.966999999999999"/>
    <n v="632.79786982906865"/>
    <n v="676579.50809380843"/>
    <n v="2705024.6603708975"/>
  </r>
  <r>
    <x v="3"/>
    <x v="3"/>
    <x v="7"/>
    <x v="2"/>
    <x v="1"/>
    <x v="13"/>
    <x v="13"/>
    <x v="13"/>
    <x v="0"/>
    <x v="13"/>
    <x v="13"/>
    <x v="13"/>
    <x v="13"/>
    <n v="56.52"/>
    <n v="632.926301323708"/>
    <n v="676600.32838027366"/>
    <n v="2705009.3906372585"/>
  </r>
  <r>
    <x v="3"/>
    <x v="3"/>
    <x v="7"/>
    <x v="2"/>
    <x v="1"/>
    <x v="14"/>
    <x v="14"/>
    <x v="14"/>
    <x v="0"/>
    <x v="14"/>
    <x v="1"/>
    <x v="1"/>
    <x v="14"/>
    <n v="61.433"/>
    <n v="633.02484734710015"/>
    <n v="676629.66982566915"/>
    <n v="2704992.5569524388"/>
  </r>
  <r>
    <x v="3"/>
    <x v="3"/>
    <x v="7"/>
    <x v="2"/>
    <x v="1"/>
    <x v="15"/>
    <x v="15"/>
    <x v="15"/>
    <x v="0"/>
    <x v="15"/>
    <x v="14"/>
    <x v="14"/>
    <x v="15"/>
    <n v="27.466000000000001"/>
    <n v="632.25055215181555"/>
    <n v="676510.52374819724"/>
    <n v="2705109.4431387959"/>
  </r>
  <r>
    <x v="3"/>
    <x v="3"/>
    <x v="7"/>
    <x v="2"/>
    <x v="1"/>
    <x v="16"/>
    <x v="16"/>
    <x v="16"/>
    <x v="0"/>
    <x v="16"/>
    <x v="15"/>
    <x v="15"/>
    <x v="1"/>
    <n v="63.79"/>
    <n v="633.00963816777517"/>
    <n v="676630.32390928257"/>
    <n v="2704992.2380672726"/>
  </r>
  <r>
    <x v="3"/>
    <x v="4"/>
    <x v="8"/>
    <x v="3"/>
    <x v="1"/>
    <x v="8"/>
    <x v="8"/>
    <x v="8"/>
    <x v="0"/>
    <x v="8"/>
    <x v="8"/>
    <x v="8"/>
    <x v="8"/>
    <n v="29.821000000000002"/>
    <n v="633.00604009937297"/>
    <n v="676516.17464984034"/>
    <n v="2705099.1681255647"/>
  </r>
  <r>
    <x v="3"/>
    <x v="4"/>
    <x v="8"/>
    <x v="3"/>
    <x v="1"/>
    <x v="9"/>
    <x v="9"/>
    <x v="9"/>
    <x v="0"/>
    <x v="9"/>
    <x v="9"/>
    <x v="9"/>
    <x v="9"/>
    <n v="34.734000000000002"/>
    <n v="633.11965084454334"/>
    <n v="676528.37125094223"/>
    <n v="2705079.8585811281"/>
  </r>
  <r>
    <x v="3"/>
    <x v="4"/>
    <x v="8"/>
    <x v="3"/>
    <x v="1"/>
    <x v="10"/>
    <x v="10"/>
    <x v="10"/>
    <x v="0"/>
    <x v="10"/>
    <x v="10"/>
    <x v="10"/>
    <x v="10"/>
    <n v="40.286999999999999"/>
    <n v="633.24808233918282"/>
    <n v="676544.09006711154"/>
    <n v="2705059.3809100944"/>
  </r>
  <r>
    <x v="3"/>
    <x v="4"/>
    <x v="8"/>
    <x v="3"/>
    <x v="1"/>
    <x v="11"/>
    <x v="11"/>
    <x v="11"/>
    <x v="0"/>
    <x v="11"/>
    <x v="11"/>
    <x v="11"/>
    <x v="11"/>
    <n v="45.627000000000002"/>
    <n v="633.37157358399929"/>
    <n v="676561.00578783592"/>
    <n v="2705041.2136441562"/>
  </r>
  <r>
    <x v="3"/>
    <x v="4"/>
    <x v="8"/>
    <x v="3"/>
    <x v="1"/>
    <x v="12"/>
    <x v="12"/>
    <x v="12"/>
    <x v="0"/>
    <x v="12"/>
    <x v="12"/>
    <x v="12"/>
    <x v="12"/>
    <n v="50.966999999999999"/>
    <n v="633.4950698290686"/>
    <n v="676579.53958220303"/>
    <n v="2705024.6992100659"/>
  </r>
  <r>
    <x v="3"/>
    <x v="4"/>
    <x v="8"/>
    <x v="3"/>
    <x v="1"/>
    <x v="13"/>
    <x v="13"/>
    <x v="13"/>
    <x v="0"/>
    <x v="13"/>
    <x v="13"/>
    <x v="13"/>
    <x v="13"/>
    <n v="56.52"/>
    <n v="633.62350132370796"/>
    <n v="676600.35596256715"/>
    <n v="2705009.4323411803"/>
  </r>
  <r>
    <x v="3"/>
    <x v="4"/>
    <x v="8"/>
    <x v="3"/>
    <x v="1"/>
    <x v="14"/>
    <x v="14"/>
    <x v="14"/>
    <x v="0"/>
    <x v="14"/>
    <x v="1"/>
    <x v="1"/>
    <x v="14"/>
    <n v="61.433"/>
    <n v="633.7220473471001"/>
    <n v="676629.69373497402"/>
    <n v="2704992.6008653659"/>
  </r>
  <r>
    <x v="3"/>
    <x v="4"/>
    <x v="8"/>
    <x v="3"/>
    <x v="1"/>
    <x v="15"/>
    <x v="15"/>
    <x v="15"/>
    <x v="0"/>
    <x v="15"/>
    <x v="14"/>
    <x v="14"/>
    <x v="15"/>
    <n v="27.466000000000001"/>
    <n v="632.94775215181551"/>
    <n v="676510.56811243144"/>
    <n v="2705109.4661999042"/>
  </r>
  <r>
    <x v="3"/>
    <x v="4"/>
    <x v="8"/>
    <x v="3"/>
    <x v="1"/>
    <x v="16"/>
    <x v="16"/>
    <x v="16"/>
    <x v="0"/>
    <x v="16"/>
    <x v="15"/>
    <x v="15"/>
    <x v="1"/>
    <n v="63.79"/>
    <n v="633.70683816777512"/>
    <n v="676630.34599240497"/>
    <n v="2704992.2829263378"/>
  </r>
  <r>
    <x v="3"/>
    <x v="5"/>
    <x v="9"/>
    <x v="1"/>
    <x v="1"/>
    <x v="8"/>
    <x v="8"/>
    <x v="8"/>
    <x v="0"/>
    <x v="8"/>
    <x v="8"/>
    <x v="8"/>
    <x v="8"/>
    <n v="29.821000000000002"/>
    <n v="633.41884009937291"/>
    <n v="676518.30022878968"/>
    <n v="2705100.3864909164"/>
  </r>
  <r>
    <x v="3"/>
    <x v="5"/>
    <x v="9"/>
    <x v="1"/>
    <x v="1"/>
    <x v="9"/>
    <x v="9"/>
    <x v="9"/>
    <x v="0"/>
    <x v="9"/>
    <x v="9"/>
    <x v="9"/>
    <x v="9"/>
    <n v="34.734000000000002"/>
    <n v="633.53245084454329"/>
    <n v="676530.38467583584"/>
    <n v="2705081.2545109964"/>
  </r>
  <r>
    <x v="3"/>
    <x v="5"/>
    <x v="9"/>
    <x v="1"/>
    <x v="1"/>
    <x v="10"/>
    <x v="10"/>
    <x v="10"/>
    <x v="0"/>
    <x v="10"/>
    <x v="10"/>
    <x v="10"/>
    <x v="10"/>
    <n v="40.286999999999999"/>
    <n v="633.66088233918276"/>
    <n v="676545.95896401349"/>
    <n v="2705060.9651210555"/>
  </r>
  <r>
    <x v="3"/>
    <x v="5"/>
    <x v="9"/>
    <x v="1"/>
    <x v="1"/>
    <x v="11"/>
    <x v="11"/>
    <x v="11"/>
    <x v="0"/>
    <x v="11"/>
    <x v="11"/>
    <x v="11"/>
    <x v="11"/>
    <n v="45.627000000000002"/>
    <n v="633.78437358399924"/>
    <n v="676562.71913794591"/>
    <n v="2705042.9649098129"/>
  </r>
  <r>
    <x v="3"/>
    <x v="5"/>
    <x v="9"/>
    <x v="1"/>
    <x v="1"/>
    <x v="12"/>
    <x v="12"/>
    <x v="12"/>
    <x v="0"/>
    <x v="12"/>
    <x v="12"/>
    <x v="12"/>
    <x v="12"/>
    <n v="50.966999999999999"/>
    <n v="633.90786982906855"/>
    <n v="676581.08251353493"/>
    <n v="2705026.6023293226"/>
  </r>
  <r>
    <x v="3"/>
    <x v="5"/>
    <x v="9"/>
    <x v="1"/>
    <x v="1"/>
    <x v="13"/>
    <x v="13"/>
    <x v="13"/>
    <x v="0"/>
    <x v="13"/>
    <x v="13"/>
    <x v="13"/>
    <x v="13"/>
    <n v="56.52"/>
    <n v="634.0363013237079"/>
    <n v="676601.70749495015"/>
    <n v="2705011.4758333429"/>
  </r>
  <r>
    <x v="3"/>
    <x v="5"/>
    <x v="9"/>
    <x v="1"/>
    <x v="1"/>
    <x v="14"/>
    <x v="14"/>
    <x v="14"/>
    <x v="0"/>
    <x v="14"/>
    <x v="1"/>
    <x v="1"/>
    <x v="14"/>
    <n v="61.433"/>
    <n v="634.13484734710005"/>
    <n v="676630.86529091082"/>
    <n v="2704994.7525987802"/>
  </r>
  <r>
    <x v="3"/>
    <x v="5"/>
    <x v="9"/>
    <x v="1"/>
    <x v="1"/>
    <x v="15"/>
    <x v="15"/>
    <x v="15"/>
    <x v="0"/>
    <x v="15"/>
    <x v="14"/>
    <x v="14"/>
    <x v="15"/>
    <n v="27.466000000000001"/>
    <n v="633.36055215181545"/>
    <n v="676512.74195990758"/>
    <n v="2705110.5961942188"/>
  </r>
  <r>
    <x v="3"/>
    <x v="5"/>
    <x v="9"/>
    <x v="1"/>
    <x v="1"/>
    <x v="16"/>
    <x v="16"/>
    <x v="16"/>
    <x v="0"/>
    <x v="16"/>
    <x v="15"/>
    <x v="15"/>
    <x v="1"/>
    <n v="63.79"/>
    <n v="634.11963816777507"/>
    <n v="676631.42806540057"/>
    <n v="2704994.4810205195"/>
  </r>
  <r>
    <x v="3"/>
    <x v="8"/>
    <x v="3"/>
    <x v="1"/>
    <x v="1"/>
    <x v="8"/>
    <x v="8"/>
    <x v="8"/>
    <x v="0"/>
    <x v="8"/>
    <x v="8"/>
    <x v="8"/>
    <x v="8"/>
    <n v="29.821000000000002"/>
    <n v="633.36284009937299"/>
    <n v="676519.16781203425"/>
    <n v="2705100.8837828967"/>
  </r>
  <r>
    <x v="3"/>
    <x v="8"/>
    <x v="3"/>
    <x v="1"/>
    <x v="1"/>
    <x v="9"/>
    <x v="9"/>
    <x v="9"/>
    <x v="0"/>
    <x v="9"/>
    <x v="9"/>
    <x v="9"/>
    <x v="9"/>
    <n v="34.734000000000002"/>
    <n v="633.47645084454336"/>
    <n v="676531.20648191485"/>
    <n v="2705081.8242782899"/>
  </r>
  <r>
    <x v="3"/>
    <x v="8"/>
    <x v="3"/>
    <x v="1"/>
    <x v="1"/>
    <x v="10"/>
    <x v="10"/>
    <x v="10"/>
    <x v="0"/>
    <x v="10"/>
    <x v="10"/>
    <x v="10"/>
    <x v="10"/>
    <n v="40.286999999999999"/>
    <n v="633.60488233918284"/>
    <n v="676546.72177907545"/>
    <n v="2705061.6117377742"/>
  </r>
  <r>
    <x v="3"/>
    <x v="8"/>
    <x v="3"/>
    <x v="1"/>
    <x v="1"/>
    <x v="11"/>
    <x v="11"/>
    <x v="11"/>
    <x v="0"/>
    <x v="11"/>
    <x v="11"/>
    <x v="11"/>
    <x v="11"/>
    <n v="45.627000000000002"/>
    <n v="633.72837358399931"/>
    <n v="676563.41846452141"/>
    <n v="2705043.6797121218"/>
  </r>
  <r>
    <x v="3"/>
    <x v="8"/>
    <x v="3"/>
    <x v="1"/>
    <x v="1"/>
    <x v="12"/>
    <x v="12"/>
    <x v="12"/>
    <x v="0"/>
    <x v="12"/>
    <x v="12"/>
    <x v="12"/>
    <x v="12"/>
    <n v="50.966999999999999"/>
    <n v="633.85186982906862"/>
    <n v="676581.71228142548"/>
    <n v="2705027.3791126925"/>
  </r>
  <r>
    <x v="3"/>
    <x v="8"/>
    <x v="3"/>
    <x v="1"/>
    <x v="1"/>
    <x v="13"/>
    <x v="13"/>
    <x v="13"/>
    <x v="0"/>
    <x v="13"/>
    <x v="13"/>
    <x v="13"/>
    <x v="13"/>
    <n v="56.52"/>
    <n v="633.98030132370798"/>
    <n v="676602.25914082082"/>
    <n v="2705012.3099117763"/>
  </r>
  <r>
    <x v="3"/>
    <x v="8"/>
    <x v="3"/>
    <x v="1"/>
    <x v="1"/>
    <x v="14"/>
    <x v="14"/>
    <x v="14"/>
    <x v="0"/>
    <x v="14"/>
    <x v="1"/>
    <x v="1"/>
    <x v="14"/>
    <n v="61.433"/>
    <n v="634.07884734710012"/>
    <n v="676631.34347700758"/>
    <n v="2704995.6308573168"/>
  </r>
  <r>
    <x v="3"/>
    <x v="8"/>
    <x v="3"/>
    <x v="1"/>
    <x v="1"/>
    <x v="15"/>
    <x v="15"/>
    <x v="15"/>
    <x v="0"/>
    <x v="15"/>
    <x v="14"/>
    <x v="14"/>
    <x v="15"/>
    <n v="27.466000000000001"/>
    <n v="633.30455215181553"/>
    <n v="676513.62924459169"/>
    <n v="2705111.0574163878"/>
  </r>
  <r>
    <x v="3"/>
    <x v="8"/>
    <x v="3"/>
    <x v="1"/>
    <x v="1"/>
    <x v="16"/>
    <x v="16"/>
    <x v="16"/>
    <x v="0"/>
    <x v="16"/>
    <x v="15"/>
    <x v="15"/>
    <x v="1"/>
    <n v="63.79"/>
    <n v="634.06363816777514"/>
    <n v="676631.86972784775"/>
    <n v="2704995.3782018181"/>
  </r>
  <r>
    <x v="3"/>
    <x v="9"/>
    <x v="3"/>
    <x v="0"/>
    <x v="1"/>
    <x v="8"/>
    <x v="8"/>
    <x v="8"/>
    <x v="0"/>
    <x v="8"/>
    <x v="8"/>
    <x v="8"/>
    <x v="8"/>
    <n v="29.821000000000002"/>
    <n v="633.61284009937299"/>
    <n v="676519.16781203425"/>
    <n v="2705100.8837828967"/>
  </r>
  <r>
    <x v="3"/>
    <x v="9"/>
    <x v="3"/>
    <x v="0"/>
    <x v="1"/>
    <x v="9"/>
    <x v="9"/>
    <x v="9"/>
    <x v="0"/>
    <x v="9"/>
    <x v="9"/>
    <x v="9"/>
    <x v="9"/>
    <n v="34.734000000000002"/>
    <n v="633.72645084454336"/>
    <n v="676531.20648191485"/>
    <n v="2705081.8242782899"/>
  </r>
  <r>
    <x v="3"/>
    <x v="9"/>
    <x v="3"/>
    <x v="0"/>
    <x v="1"/>
    <x v="10"/>
    <x v="10"/>
    <x v="10"/>
    <x v="0"/>
    <x v="10"/>
    <x v="10"/>
    <x v="10"/>
    <x v="10"/>
    <n v="40.286999999999999"/>
    <n v="633.85488233918284"/>
    <n v="676546.72177907545"/>
    <n v="2705061.6117377742"/>
  </r>
  <r>
    <x v="3"/>
    <x v="9"/>
    <x v="3"/>
    <x v="0"/>
    <x v="1"/>
    <x v="11"/>
    <x v="11"/>
    <x v="11"/>
    <x v="0"/>
    <x v="11"/>
    <x v="11"/>
    <x v="11"/>
    <x v="11"/>
    <n v="45.627000000000002"/>
    <n v="633.97837358399931"/>
    <n v="676563.41846452141"/>
    <n v="2705043.6797121218"/>
  </r>
  <r>
    <x v="3"/>
    <x v="9"/>
    <x v="3"/>
    <x v="0"/>
    <x v="1"/>
    <x v="12"/>
    <x v="12"/>
    <x v="12"/>
    <x v="0"/>
    <x v="12"/>
    <x v="12"/>
    <x v="12"/>
    <x v="12"/>
    <n v="50.966999999999999"/>
    <n v="634.10186982906862"/>
    <n v="676581.71228142548"/>
    <n v="2705027.3791126925"/>
  </r>
  <r>
    <x v="3"/>
    <x v="9"/>
    <x v="3"/>
    <x v="0"/>
    <x v="1"/>
    <x v="13"/>
    <x v="13"/>
    <x v="13"/>
    <x v="0"/>
    <x v="13"/>
    <x v="13"/>
    <x v="13"/>
    <x v="13"/>
    <n v="56.52"/>
    <n v="634.23030132370798"/>
    <n v="676602.25914082082"/>
    <n v="2705012.3099117763"/>
  </r>
  <r>
    <x v="3"/>
    <x v="9"/>
    <x v="3"/>
    <x v="0"/>
    <x v="1"/>
    <x v="14"/>
    <x v="14"/>
    <x v="14"/>
    <x v="0"/>
    <x v="14"/>
    <x v="1"/>
    <x v="1"/>
    <x v="14"/>
    <n v="61.433"/>
    <n v="634.32884734710012"/>
    <n v="676631.34347700758"/>
    <n v="2704995.6308573168"/>
  </r>
  <r>
    <x v="3"/>
    <x v="9"/>
    <x v="3"/>
    <x v="0"/>
    <x v="1"/>
    <x v="15"/>
    <x v="15"/>
    <x v="15"/>
    <x v="0"/>
    <x v="15"/>
    <x v="14"/>
    <x v="14"/>
    <x v="15"/>
    <n v="27.466000000000001"/>
    <n v="633.55455215181553"/>
    <n v="676513.62924459169"/>
    <n v="2705111.0574163878"/>
  </r>
  <r>
    <x v="3"/>
    <x v="9"/>
    <x v="3"/>
    <x v="0"/>
    <x v="1"/>
    <x v="16"/>
    <x v="16"/>
    <x v="16"/>
    <x v="0"/>
    <x v="16"/>
    <x v="15"/>
    <x v="15"/>
    <x v="1"/>
    <n v="63.79"/>
    <n v="634.31363816777514"/>
    <n v="676631.86972784775"/>
    <n v="2704995.37820181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2ACD46-915D-4AF7-BCA5-10D678B2BAB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fieldListSortAscending="1">
  <location ref="B3:F203" firstHeaderRow="0" firstDataRow="1" firstDataCol="2"/>
  <pivotFields count="17">
    <pivotField compact="0" showAll="0" insertBlankRow="1" defaultSubtotal="0"/>
    <pivotField axis="axisRow" compact="0" showAll="0" insertBlankRow="1" defaultSubtotal="0">
      <items count="10">
        <item x="0"/>
        <item x="1"/>
        <item x="2"/>
        <item x="6"/>
        <item x="7"/>
        <item x="3"/>
        <item x="4"/>
        <item x="5"/>
        <item x="8"/>
        <item x="9"/>
      </items>
    </pivotField>
    <pivotField compact="0" showAll="0" insertBlankRow="1" defaultSubtotal="0"/>
    <pivotField compact="0" showAll="0" insertBlankRow="1" defaultSubtotal="0"/>
    <pivotField compact="0" showAll="0" insertBlankRow="1" defaultSubtotal="0"/>
    <pivotField axis="axisRow" compact="0" showAll="0" insertBlankRow="1" defaultSubtotal="0">
      <items count="17">
        <item x="0"/>
        <item x="1"/>
        <item x="15"/>
        <item x="16"/>
        <item x="2"/>
        <item x="3"/>
        <item x="6"/>
        <item x="8"/>
        <item x="9"/>
        <item x="10"/>
        <item x="11"/>
        <item x="4"/>
        <item x="5"/>
        <item x="7"/>
        <item x="12"/>
        <item x="13"/>
        <item x="14"/>
      </items>
    </pivotField>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dataField="1" compact="0" showAll="0" insertBlankRow="1" defaultSubtotal="0"/>
    <pivotField dataField="1" compact="0" showAll="0" insertBlankRow="1" defaultSubtotal="0"/>
    <pivotField dataField="1" compact="0" showAll="0" insertBlankRow="1" defaultSubtotal="0"/>
  </pivotFields>
  <rowFields count="2">
    <field x="5"/>
    <field x="1"/>
  </rowFields>
  <rowItems count="200">
    <i>
      <x/>
    </i>
    <i r="1">
      <x/>
    </i>
    <i r="1">
      <x v="1"/>
    </i>
    <i r="1">
      <x v="2"/>
    </i>
    <i r="1">
      <x v="3"/>
    </i>
    <i r="1">
      <x v="4"/>
    </i>
    <i r="1">
      <x v="5"/>
    </i>
    <i r="1">
      <x v="6"/>
    </i>
    <i r="1">
      <x v="7"/>
    </i>
    <i t="blank">
      <x/>
    </i>
    <i>
      <x v="1"/>
    </i>
    <i r="1">
      <x/>
    </i>
    <i r="1">
      <x v="1"/>
    </i>
    <i r="1">
      <x v="2"/>
    </i>
    <i r="1">
      <x v="3"/>
    </i>
    <i r="1">
      <x v="4"/>
    </i>
    <i r="1">
      <x v="5"/>
    </i>
    <i r="1">
      <x v="6"/>
    </i>
    <i r="1">
      <x v="7"/>
    </i>
    <i t="blank">
      <x v="1"/>
    </i>
    <i>
      <x v="2"/>
    </i>
    <i r="1">
      <x/>
    </i>
    <i r="1">
      <x v="1"/>
    </i>
    <i r="1">
      <x v="2"/>
    </i>
    <i r="1">
      <x v="3"/>
    </i>
    <i r="1">
      <x v="4"/>
    </i>
    <i r="1">
      <x v="5"/>
    </i>
    <i r="1">
      <x v="6"/>
    </i>
    <i r="1">
      <x v="7"/>
    </i>
    <i r="1">
      <x v="8"/>
    </i>
    <i r="1">
      <x v="9"/>
    </i>
    <i t="blank">
      <x v="2"/>
    </i>
    <i>
      <x v="3"/>
    </i>
    <i r="1">
      <x/>
    </i>
    <i r="1">
      <x v="1"/>
    </i>
    <i r="1">
      <x v="2"/>
    </i>
    <i r="1">
      <x v="3"/>
    </i>
    <i r="1">
      <x v="4"/>
    </i>
    <i r="1">
      <x v="5"/>
    </i>
    <i r="1">
      <x v="6"/>
    </i>
    <i r="1">
      <x v="7"/>
    </i>
    <i r="1">
      <x v="8"/>
    </i>
    <i r="1">
      <x v="9"/>
    </i>
    <i t="blank">
      <x v="3"/>
    </i>
    <i>
      <x v="4"/>
    </i>
    <i r="1">
      <x/>
    </i>
    <i r="1">
      <x v="1"/>
    </i>
    <i r="1">
      <x v="2"/>
    </i>
    <i r="1">
      <x v="3"/>
    </i>
    <i r="1">
      <x v="4"/>
    </i>
    <i r="1">
      <x v="5"/>
    </i>
    <i r="1">
      <x v="6"/>
    </i>
    <i r="1">
      <x v="7"/>
    </i>
    <i r="1">
      <x v="8"/>
    </i>
    <i r="1">
      <x v="9"/>
    </i>
    <i t="blank">
      <x v="4"/>
    </i>
    <i>
      <x v="5"/>
    </i>
    <i r="1">
      <x/>
    </i>
    <i r="1">
      <x v="1"/>
    </i>
    <i r="1">
      <x v="2"/>
    </i>
    <i r="1">
      <x v="3"/>
    </i>
    <i r="1">
      <x v="4"/>
    </i>
    <i r="1">
      <x v="5"/>
    </i>
    <i r="1">
      <x v="6"/>
    </i>
    <i r="1">
      <x v="7"/>
    </i>
    <i r="1">
      <x v="8"/>
    </i>
    <i r="1">
      <x v="9"/>
    </i>
    <i t="blank">
      <x v="5"/>
    </i>
    <i>
      <x v="6"/>
    </i>
    <i r="1">
      <x/>
    </i>
    <i r="1">
      <x v="1"/>
    </i>
    <i r="1">
      <x v="2"/>
    </i>
    <i r="1">
      <x v="3"/>
    </i>
    <i r="1">
      <x v="4"/>
    </i>
    <i r="1">
      <x v="5"/>
    </i>
    <i r="1">
      <x v="6"/>
    </i>
    <i r="1">
      <x v="7"/>
    </i>
    <i r="1">
      <x v="8"/>
    </i>
    <i r="1">
      <x v="9"/>
    </i>
    <i t="blank">
      <x v="6"/>
    </i>
    <i>
      <x v="7"/>
    </i>
    <i r="1">
      <x/>
    </i>
    <i r="1">
      <x v="1"/>
    </i>
    <i r="1">
      <x v="2"/>
    </i>
    <i r="1">
      <x v="3"/>
    </i>
    <i r="1">
      <x v="4"/>
    </i>
    <i r="1">
      <x v="5"/>
    </i>
    <i r="1">
      <x v="6"/>
    </i>
    <i r="1">
      <x v="7"/>
    </i>
    <i r="1">
      <x v="8"/>
    </i>
    <i r="1">
      <x v="9"/>
    </i>
    <i t="blank">
      <x v="7"/>
    </i>
    <i>
      <x v="8"/>
    </i>
    <i r="1">
      <x/>
    </i>
    <i r="1">
      <x v="1"/>
    </i>
    <i r="1">
      <x v="2"/>
    </i>
    <i r="1">
      <x v="3"/>
    </i>
    <i r="1">
      <x v="4"/>
    </i>
    <i r="1">
      <x v="5"/>
    </i>
    <i r="1">
      <x v="6"/>
    </i>
    <i r="1">
      <x v="7"/>
    </i>
    <i r="1">
      <x v="8"/>
    </i>
    <i r="1">
      <x v="9"/>
    </i>
    <i t="blank">
      <x v="8"/>
    </i>
    <i>
      <x v="9"/>
    </i>
    <i r="1">
      <x/>
    </i>
    <i r="1">
      <x v="1"/>
    </i>
    <i r="1">
      <x v="2"/>
    </i>
    <i r="1">
      <x v="3"/>
    </i>
    <i r="1">
      <x v="4"/>
    </i>
    <i r="1">
      <x v="5"/>
    </i>
    <i r="1">
      <x v="6"/>
    </i>
    <i r="1">
      <x v="7"/>
    </i>
    <i r="1">
      <x v="8"/>
    </i>
    <i r="1">
      <x v="9"/>
    </i>
    <i t="blank">
      <x v="9"/>
    </i>
    <i>
      <x v="10"/>
    </i>
    <i r="1">
      <x/>
    </i>
    <i r="1">
      <x v="1"/>
    </i>
    <i r="1">
      <x v="2"/>
    </i>
    <i r="1">
      <x v="3"/>
    </i>
    <i r="1">
      <x v="4"/>
    </i>
    <i r="1">
      <x v="5"/>
    </i>
    <i r="1">
      <x v="6"/>
    </i>
    <i r="1">
      <x v="7"/>
    </i>
    <i r="1">
      <x v="8"/>
    </i>
    <i r="1">
      <x v="9"/>
    </i>
    <i t="blank">
      <x v="10"/>
    </i>
    <i>
      <x v="11"/>
    </i>
    <i r="1">
      <x/>
    </i>
    <i r="1">
      <x v="1"/>
    </i>
    <i r="1">
      <x v="2"/>
    </i>
    <i r="1">
      <x v="3"/>
    </i>
    <i r="1">
      <x v="4"/>
    </i>
    <i r="1">
      <x v="5"/>
    </i>
    <i r="1">
      <x v="6"/>
    </i>
    <i r="1">
      <x v="7"/>
    </i>
    <i r="1">
      <x v="8"/>
    </i>
    <i r="1">
      <x v="9"/>
    </i>
    <i t="blank">
      <x v="11"/>
    </i>
    <i>
      <x v="12"/>
    </i>
    <i r="1">
      <x/>
    </i>
    <i r="1">
      <x v="1"/>
    </i>
    <i r="1">
      <x v="2"/>
    </i>
    <i r="1">
      <x v="3"/>
    </i>
    <i r="1">
      <x v="4"/>
    </i>
    <i r="1">
      <x v="5"/>
    </i>
    <i r="1">
      <x v="6"/>
    </i>
    <i r="1">
      <x v="7"/>
    </i>
    <i r="1">
      <x v="8"/>
    </i>
    <i r="1">
      <x v="9"/>
    </i>
    <i t="blank">
      <x v="12"/>
    </i>
    <i>
      <x v="13"/>
    </i>
    <i r="1">
      <x/>
    </i>
    <i r="1">
      <x v="1"/>
    </i>
    <i r="1">
      <x v="2"/>
    </i>
    <i r="1">
      <x v="3"/>
    </i>
    <i r="1">
      <x v="4"/>
    </i>
    <i r="1">
      <x v="5"/>
    </i>
    <i r="1">
      <x v="6"/>
    </i>
    <i r="1">
      <x v="7"/>
    </i>
    <i r="1">
      <x v="8"/>
    </i>
    <i r="1">
      <x v="9"/>
    </i>
    <i t="blank">
      <x v="13"/>
    </i>
    <i>
      <x v="14"/>
    </i>
    <i r="1">
      <x/>
    </i>
    <i r="1">
      <x v="1"/>
    </i>
    <i r="1">
      <x v="2"/>
    </i>
    <i r="1">
      <x v="3"/>
    </i>
    <i r="1">
      <x v="4"/>
    </i>
    <i r="1">
      <x v="5"/>
    </i>
    <i r="1">
      <x v="6"/>
    </i>
    <i r="1">
      <x v="7"/>
    </i>
    <i r="1">
      <x v="8"/>
    </i>
    <i r="1">
      <x v="9"/>
    </i>
    <i t="blank">
      <x v="14"/>
    </i>
    <i>
      <x v="15"/>
    </i>
    <i r="1">
      <x/>
    </i>
    <i r="1">
      <x v="1"/>
    </i>
    <i r="1">
      <x v="2"/>
    </i>
    <i r="1">
      <x v="3"/>
    </i>
    <i r="1">
      <x v="4"/>
    </i>
    <i r="1">
      <x v="5"/>
    </i>
    <i r="1">
      <x v="6"/>
    </i>
    <i r="1">
      <x v="7"/>
    </i>
    <i r="1">
      <x v="8"/>
    </i>
    <i r="1">
      <x v="9"/>
    </i>
    <i t="blank">
      <x v="15"/>
    </i>
    <i>
      <x v="16"/>
    </i>
    <i r="1">
      <x/>
    </i>
    <i r="1">
      <x v="1"/>
    </i>
    <i r="1">
      <x v="2"/>
    </i>
    <i r="1">
      <x v="3"/>
    </i>
    <i r="1">
      <x v="4"/>
    </i>
    <i r="1">
      <x v="5"/>
    </i>
    <i r="1">
      <x v="6"/>
    </i>
    <i r="1">
      <x v="7"/>
    </i>
    <i r="1">
      <x v="8"/>
    </i>
    <i r="1">
      <x v="9"/>
    </i>
    <i t="blank">
      <x v="16"/>
    </i>
  </rowItems>
  <colFields count="1">
    <field x="-2"/>
  </colFields>
  <colItems count="3">
    <i>
      <x/>
    </i>
    <i i="1">
      <x v="1"/>
    </i>
    <i i="2">
      <x v="2"/>
    </i>
  </colItems>
  <dataFields count="3">
    <dataField name="Easting [X]" fld="15" baseField="0" baseItem="0"/>
    <dataField name="Northing [Y]" fld="16" baseField="0" baseItem="0"/>
    <dataField name="Point Elevation [Z]" fld="14" baseField="0" baseItem="0"/>
  </dataFields>
  <formats count="83">
    <format dxfId="99">
      <pivotArea type="all" dataOnly="0" outline="0" fieldPosition="0"/>
    </format>
    <format dxfId="98">
      <pivotArea field="5" type="button" dataOnly="0" labelOnly="1" outline="0" axis="axisRow" fieldPosition="0"/>
    </format>
    <format dxfId="97">
      <pivotArea field="1" type="button" dataOnly="0" labelOnly="1" outline="0" axis="axisRow" fieldPosition="1"/>
    </format>
    <format dxfId="96">
      <pivotArea dataOnly="0" labelOnly="1" outline="0" fieldPosition="0">
        <references count="1">
          <reference field="4294967294" count="3">
            <x v="0"/>
            <x v="1"/>
            <x v="2"/>
          </reference>
        </references>
      </pivotArea>
    </format>
    <format dxfId="95">
      <pivotArea fieldPosition="0">
        <references count="2">
          <reference field="1" count="8">
            <x v="0"/>
            <x v="1"/>
            <x v="2"/>
            <x v="3"/>
            <x v="4"/>
            <x v="5"/>
            <x v="6"/>
            <x v="7"/>
          </reference>
          <reference field="5" count="1" selected="0">
            <x v="0"/>
          </reference>
        </references>
      </pivotArea>
    </format>
    <format dxfId="94">
      <pivotArea fieldPosition="0">
        <references count="1">
          <reference field="5" count="1">
            <x v="0"/>
          </reference>
        </references>
      </pivotArea>
    </format>
    <format dxfId="93">
      <pivotArea fieldPosition="0">
        <references count="1">
          <reference field="5" count="1">
            <x v="1"/>
          </reference>
        </references>
      </pivotArea>
    </format>
    <format dxfId="92">
      <pivotArea fieldPosition="0">
        <references count="2">
          <reference field="1" count="8">
            <x v="0"/>
            <x v="1"/>
            <x v="2"/>
            <x v="3"/>
            <x v="4"/>
            <x v="5"/>
            <x v="6"/>
            <x v="7"/>
          </reference>
          <reference field="5" count="1" selected="0">
            <x v="1"/>
          </reference>
        </references>
      </pivotArea>
    </format>
    <format dxfId="91">
      <pivotArea fieldPosition="0">
        <references count="1">
          <reference field="5" count="1">
            <x v="1"/>
          </reference>
        </references>
      </pivotArea>
    </format>
    <format dxfId="90">
      <pivotArea fieldPosition="0">
        <references count="1">
          <reference field="5" count="1">
            <x v="2"/>
          </reference>
        </references>
      </pivotArea>
    </format>
    <format dxfId="89">
      <pivotArea fieldPosition="0">
        <references count="2">
          <reference field="1" count="8">
            <x v="0"/>
            <x v="1"/>
            <x v="2"/>
            <x v="3"/>
            <x v="4"/>
            <x v="5"/>
            <x v="6"/>
            <x v="7"/>
          </reference>
          <reference field="5" count="1" selected="0">
            <x v="2"/>
          </reference>
        </references>
      </pivotArea>
    </format>
    <format dxfId="88">
      <pivotArea fieldPosition="0">
        <references count="1">
          <reference field="5" count="1">
            <x v="2"/>
          </reference>
        </references>
      </pivotArea>
    </format>
    <format dxfId="87">
      <pivotArea fieldPosition="0">
        <references count="1">
          <reference field="5" count="1">
            <x v="3"/>
          </reference>
        </references>
      </pivotArea>
    </format>
    <format dxfId="86">
      <pivotArea fieldPosition="0">
        <references count="2">
          <reference field="1" count="8">
            <x v="0"/>
            <x v="1"/>
            <x v="2"/>
            <x v="3"/>
            <x v="4"/>
            <x v="5"/>
            <x v="6"/>
            <x v="7"/>
          </reference>
          <reference field="5" count="1" selected="0">
            <x v="3"/>
          </reference>
        </references>
      </pivotArea>
    </format>
    <format dxfId="85">
      <pivotArea fieldPosition="0">
        <references count="1">
          <reference field="5" count="1">
            <x v="3"/>
          </reference>
        </references>
      </pivotArea>
    </format>
    <format dxfId="84">
      <pivotArea fieldPosition="0">
        <references count="1">
          <reference field="5" count="1">
            <x v="4"/>
          </reference>
        </references>
      </pivotArea>
    </format>
    <format dxfId="83">
      <pivotArea fieldPosition="0">
        <references count="2">
          <reference field="1" count="0"/>
          <reference field="5" count="1" selected="0">
            <x v="4"/>
          </reference>
        </references>
      </pivotArea>
    </format>
    <format dxfId="82">
      <pivotArea fieldPosition="0">
        <references count="1">
          <reference field="5" count="1">
            <x v="4"/>
          </reference>
        </references>
      </pivotArea>
    </format>
    <format dxfId="81">
      <pivotArea fieldPosition="0">
        <references count="1">
          <reference field="5" count="1">
            <x v="5"/>
          </reference>
        </references>
      </pivotArea>
    </format>
    <format dxfId="80">
      <pivotArea fieldPosition="0">
        <references count="2">
          <reference field="1" count="0"/>
          <reference field="5" count="1" selected="0">
            <x v="5"/>
          </reference>
        </references>
      </pivotArea>
    </format>
    <format dxfId="79">
      <pivotArea fieldPosition="0">
        <references count="1">
          <reference field="5" count="1">
            <x v="5"/>
          </reference>
        </references>
      </pivotArea>
    </format>
    <format dxfId="78">
      <pivotArea fieldPosition="0">
        <references count="1">
          <reference field="5" count="1">
            <x v="6"/>
          </reference>
        </references>
      </pivotArea>
    </format>
    <format dxfId="77">
      <pivotArea fieldPosition="0">
        <references count="2">
          <reference field="1" count="0"/>
          <reference field="5" count="1" selected="0">
            <x v="6"/>
          </reference>
        </references>
      </pivotArea>
    </format>
    <format dxfId="76">
      <pivotArea fieldPosition="0">
        <references count="1">
          <reference field="5" count="1">
            <x v="6"/>
          </reference>
        </references>
      </pivotArea>
    </format>
    <format dxfId="75">
      <pivotArea fieldPosition="0">
        <references count="1">
          <reference field="5" count="1">
            <x v="7"/>
          </reference>
        </references>
      </pivotArea>
    </format>
    <format dxfId="74">
      <pivotArea fieldPosition="0">
        <references count="2">
          <reference field="1" count="0"/>
          <reference field="5" count="1" selected="0">
            <x v="7"/>
          </reference>
        </references>
      </pivotArea>
    </format>
    <format dxfId="73">
      <pivotArea fieldPosition="0">
        <references count="1">
          <reference field="5" count="1">
            <x v="7"/>
          </reference>
        </references>
      </pivotArea>
    </format>
    <format dxfId="72">
      <pivotArea fieldPosition="0">
        <references count="1">
          <reference field="5" count="1">
            <x v="8"/>
          </reference>
        </references>
      </pivotArea>
    </format>
    <format dxfId="71">
      <pivotArea fieldPosition="0">
        <references count="2">
          <reference field="1" count="0"/>
          <reference field="5" count="1" selected="0">
            <x v="8"/>
          </reference>
        </references>
      </pivotArea>
    </format>
    <format dxfId="70">
      <pivotArea fieldPosition="0">
        <references count="1">
          <reference field="5" count="1">
            <x v="8"/>
          </reference>
        </references>
      </pivotArea>
    </format>
    <format dxfId="69">
      <pivotArea fieldPosition="0">
        <references count="1">
          <reference field="5" count="1">
            <x v="9"/>
          </reference>
        </references>
      </pivotArea>
    </format>
    <format dxfId="68">
      <pivotArea fieldPosition="0">
        <references count="2">
          <reference field="1" count="0"/>
          <reference field="5" count="1" selected="0">
            <x v="9"/>
          </reference>
        </references>
      </pivotArea>
    </format>
    <format dxfId="67">
      <pivotArea fieldPosition="0">
        <references count="1">
          <reference field="5" count="1">
            <x v="9"/>
          </reference>
        </references>
      </pivotArea>
    </format>
    <format dxfId="66">
      <pivotArea fieldPosition="0">
        <references count="1">
          <reference field="5" count="1">
            <x v="10"/>
          </reference>
        </references>
      </pivotArea>
    </format>
    <format dxfId="65">
      <pivotArea fieldPosition="0">
        <references count="2">
          <reference field="1" count="0"/>
          <reference field="5" count="1" selected="0">
            <x v="10"/>
          </reference>
        </references>
      </pivotArea>
    </format>
    <format dxfId="64">
      <pivotArea dataOnly="0" labelOnly="1" fieldPosition="0">
        <references count="1">
          <reference field="1" count="0"/>
        </references>
      </pivotArea>
    </format>
    <format dxfId="63">
      <pivotArea dataOnly="0" labelOnly="1" fieldPosition="0">
        <references count="1">
          <reference field="1" count="0"/>
        </references>
      </pivotArea>
    </format>
    <format dxfId="62">
      <pivotArea dataOnly="0" labelOnly="1" fieldPosition="0">
        <references count="1">
          <reference field="5" count="0"/>
        </references>
      </pivotArea>
    </format>
    <format dxfId="61">
      <pivotArea dataOnly="0" labelOnly="1" fieldPosition="0">
        <references count="1">
          <reference field="5" count="0"/>
        </references>
      </pivotArea>
    </format>
    <format dxfId="60">
      <pivotArea dataOnly="0" outline="0" fieldPosition="0">
        <references count="1">
          <reference field="4294967294" count="3">
            <x v="0"/>
            <x v="1"/>
            <x v="2"/>
          </reference>
        </references>
      </pivotArea>
    </format>
    <format dxfId="59">
      <pivotArea dataOnly="0" outline="0" fieldPosition="0">
        <references count="1">
          <reference field="4294967294" count="3">
            <x v="0"/>
            <x v="1"/>
            <x v="2"/>
          </reference>
        </references>
      </pivotArea>
    </format>
    <format dxfId="58">
      <pivotArea field="5" type="button" dataOnly="0" labelOnly="1" outline="0" axis="axisRow" fieldPosition="0"/>
    </format>
    <format dxfId="57">
      <pivotArea field="1" type="button" dataOnly="0" labelOnly="1" outline="0" axis="axisRow" fieldPosition="1"/>
    </format>
    <format dxfId="56">
      <pivotArea dataOnly="0" labelOnly="1" outline="0" fieldPosition="0">
        <references count="1">
          <reference field="4294967294" count="3">
            <x v="0"/>
            <x v="1"/>
            <x v="2"/>
          </reference>
        </references>
      </pivotArea>
    </format>
    <format dxfId="55">
      <pivotArea field="5" type="button" dataOnly="0" labelOnly="1" outline="0" axis="axisRow" fieldPosition="0"/>
    </format>
    <format dxfId="54">
      <pivotArea field="1" type="button" dataOnly="0" labelOnly="1" outline="0" axis="axisRow" fieldPosition="1"/>
    </format>
    <format dxfId="53">
      <pivotArea dataOnly="0" labelOnly="1" outline="0" fieldPosition="0">
        <references count="1">
          <reference field="4294967294" count="3">
            <x v="0"/>
            <x v="1"/>
            <x v="2"/>
          </reference>
        </references>
      </pivotArea>
    </format>
    <format dxfId="52">
      <pivotArea dataOnly="0" fieldPosition="0">
        <references count="1">
          <reference field="5" count="1">
            <x v="0"/>
          </reference>
        </references>
      </pivotArea>
    </format>
    <format dxfId="51">
      <pivotArea dataOnly="0" fieldPosition="0">
        <references count="1">
          <reference field="5" count="10">
            <x v="1"/>
            <x v="2"/>
            <x v="3"/>
            <x v="4"/>
            <x v="5"/>
            <x v="6"/>
            <x v="7"/>
            <x v="8"/>
            <x v="9"/>
            <x v="10"/>
          </reference>
        </references>
      </pivotArea>
    </format>
    <format dxfId="50">
      <pivotArea fieldPosition="0">
        <references count="3">
          <reference field="4294967294" count="1" selected="0">
            <x v="2"/>
          </reference>
          <reference field="1" count="0"/>
          <reference field="5" count="1" selected="0">
            <x v="2"/>
          </reference>
        </references>
      </pivotArea>
    </format>
    <format dxfId="49">
      <pivotArea fieldPosition="0">
        <references count="3">
          <reference field="4294967294" count="1" selected="0">
            <x v="2"/>
          </reference>
          <reference field="1" count="2">
            <x v="8"/>
            <x v="9"/>
          </reference>
          <reference field="5" count="1" selected="0">
            <x v="3"/>
          </reference>
        </references>
      </pivotArea>
    </format>
    <format dxfId="48">
      <pivotArea fieldPosition="0">
        <references count="3">
          <reference field="4294967294" count="1" selected="0">
            <x v="2"/>
          </reference>
          <reference field="1" count="0"/>
          <reference field="5" count="1" selected="0">
            <x v="11"/>
          </reference>
        </references>
      </pivotArea>
    </format>
    <format dxfId="47">
      <pivotArea fieldPosition="0">
        <references count="3">
          <reference field="4294967294" count="1" selected="0">
            <x v="2"/>
          </reference>
          <reference field="1" count="1">
            <x v="9"/>
          </reference>
          <reference field="5" count="1" selected="0">
            <x v="12"/>
          </reference>
        </references>
      </pivotArea>
    </format>
    <format dxfId="46">
      <pivotArea fieldPosition="0">
        <references count="3">
          <reference field="4294967294" count="1" selected="0">
            <x v="2"/>
          </reference>
          <reference field="1" count="0"/>
          <reference field="5" count="1" selected="0">
            <x v="13"/>
          </reference>
        </references>
      </pivotArea>
    </format>
    <format dxfId="45">
      <pivotArea fieldPosition="0">
        <references count="3">
          <reference field="4294967294" count="1" selected="0">
            <x v="2"/>
          </reference>
          <reference field="1" count="9">
            <x v="0"/>
            <x v="1"/>
            <x v="2"/>
            <x v="3"/>
            <x v="4"/>
            <x v="5"/>
            <x v="6"/>
            <x v="7"/>
            <x v="8"/>
          </reference>
          <reference field="5" count="1" selected="0">
            <x v="12"/>
          </reference>
        </references>
      </pivotArea>
    </format>
    <format dxfId="44">
      <pivotArea fieldPosition="0">
        <references count="3">
          <reference field="4294967294" count="1" selected="0">
            <x v="2"/>
          </reference>
          <reference field="1" count="0"/>
          <reference field="5" count="1" selected="0">
            <x v="14"/>
          </reference>
        </references>
      </pivotArea>
    </format>
    <format dxfId="43">
      <pivotArea fieldPosition="0">
        <references count="2">
          <reference field="4294967294" count="1" selected="0">
            <x v="2"/>
          </reference>
          <reference field="5" count="1">
            <x v="14"/>
          </reference>
        </references>
      </pivotArea>
    </format>
    <format dxfId="42">
      <pivotArea fieldPosition="0">
        <references count="2">
          <reference field="4294967294" count="1" selected="0">
            <x v="2"/>
          </reference>
          <reference field="5" count="1">
            <x v="15"/>
          </reference>
        </references>
      </pivotArea>
    </format>
    <format dxfId="41">
      <pivotArea fieldPosition="0">
        <references count="3">
          <reference field="4294967294" count="1" selected="0">
            <x v="2"/>
          </reference>
          <reference field="1" count="0"/>
          <reference field="5" count="1" selected="0">
            <x v="15"/>
          </reference>
        </references>
      </pivotArea>
    </format>
    <format dxfId="40">
      <pivotArea fieldPosition="0">
        <references count="3">
          <reference field="4294967294" count="1" selected="0">
            <x v="2"/>
          </reference>
          <reference field="1" count="0"/>
          <reference field="5" count="1" selected="0">
            <x v="16"/>
          </reference>
        </references>
      </pivotArea>
    </format>
    <format dxfId="39">
      <pivotArea type="all" dataOnly="0" outline="0" fieldPosition="0"/>
    </format>
    <format dxfId="38">
      <pivotArea outline="0" collapsedLevelsAreSubtotals="1" fieldPosition="0"/>
    </format>
    <format dxfId="37">
      <pivotArea dataOnly="0" labelOnly="1" outline="0" fieldPosition="0">
        <references count="1">
          <reference field="5" count="0"/>
        </references>
      </pivotArea>
    </format>
    <format dxfId="36">
      <pivotArea dataOnly="0" labelOnly="1" outline="0" fieldPosition="0">
        <references count="2">
          <reference field="1" count="8">
            <x v="0"/>
            <x v="1"/>
            <x v="2"/>
            <x v="3"/>
            <x v="4"/>
            <x v="5"/>
            <x v="6"/>
            <x v="7"/>
          </reference>
          <reference field="5" count="1" selected="0">
            <x v="0"/>
          </reference>
        </references>
      </pivotArea>
    </format>
    <format dxfId="35">
      <pivotArea dataOnly="0" labelOnly="1" outline="0" fieldPosition="0">
        <references count="2">
          <reference field="1" count="8">
            <x v="0"/>
            <x v="1"/>
            <x v="2"/>
            <x v="3"/>
            <x v="4"/>
            <x v="5"/>
            <x v="6"/>
            <x v="7"/>
          </reference>
          <reference field="5" count="1" selected="0">
            <x v="1"/>
          </reference>
        </references>
      </pivotArea>
    </format>
    <format dxfId="34">
      <pivotArea dataOnly="0" labelOnly="1" outline="0" fieldPosition="0">
        <references count="2">
          <reference field="1" count="0"/>
          <reference field="5" count="1" selected="0">
            <x v="2"/>
          </reference>
        </references>
      </pivotArea>
    </format>
    <format dxfId="33">
      <pivotArea dataOnly="0" labelOnly="1" outline="0" fieldPosition="0">
        <references count="2">
          <reference field="1" count="0"/>
          <reference field="5" count="1" selected="0">
            <x v="3"/>
          </reference>
        </references>
      </pivotArea>
    </format>
    <format dxfId="32">
      <pivotArea dataOnly="0" labelOnly="1" outline="0" fieldPosition="0">
        <references count="2">
          <reference field="1" count="0"/>
          <reference field="5" count="1" selected="0">
            <x v="4"/>
          </reference>
        </references>
      </pivotArea>
    </format>
    <format dxfId="31">
      <pivotArea dataOnly="0" labelOnly="1" outline="0" fieldPosition="0">
        <references count="2">
          <reference field="1" count="0"/>
          <reference field="5" count="1" selected="0">
            <x v="5"/>
          </reference>
        </references>
      </pivotArea>
    </format>
    <format dxfId="30">
      <pivotArea dataOnly="0" labelOnly="1" outline="0" fieldPosition="0">
        <references count="2">
          <reference field="1" count="0"/>
          <reference field="5" count="1" selected="0">
            <x v="6"/>
          </reference>
        </references>
      </pivotArea>
    </format>
    <format dxfId="29">
      <pivotArea dataOnly="0" labelOnly="1" outline="0" fieldPosition="0">
        <references count="2">
          <reference field="1" count="0"/>
          <reference field="5" count="1" selected="0">
            <x v="7"/>
          </reference>
        </references>
      </pivotArea>
    </format>
    <format dxfId="28">
      <pivotArea dataOnly="0" labelOnly="1" outline="0" fieldPosition="0">
        <references count="2">
          <reference field="1" count="0"/>
          <reference field="5" count="1" selected="0">
            <x v="8"/>
          </reference>
        </references>
      </pivotArea>
    </format>
    <format dxfId="27">
      <pivotArea dataOnly="0" labelOnly="1" outline="0" fieldPosition="0">
        <references count="2">
          <reference field="1" count="0"/>
          <reference field="5" count="1" selected="0">
            <x v="9"/>
          </reference>
        </references>
      </pivotArea>
    </format>
    <format dxfId="26">
      <pivotArea dataOnly="0" labelOnly="1" outline="0" fieldPosition="0">
        <references count="2">
          <reference field="1" count="0"/>
          <reference field="5" count="1" selected="0">
            <x v="10"/>
          </reference>
        </references>
      </pivotArea>
    </format>
    <format dxfId="25">
      <pivotArea dataOnly="0" labelOnly="1" outline="0" fieldPosition="0">
        <references count="2">
          <reference field="1" count="0"/>
          <reference field="5" count="1" selected="0">
            <x v="11"/>
          </reference>
        </references>
      </pivotArea>
    </format>
    <format dxfId="24">
      <pivotArea dataOnly="0" labelOnly="1" outline="0" fieldPosition="0">
        <references count="2">
          <reference field="1" count="0"/>
          <reference field="5" count="1" selected="0">
            <x v="12"/>
          </reference>
        </references>
      </pivotArea>
    </format>
    <format dxfId="23">
      <pivotArea dataOnly="0" labelOnly="1" outline="0" fieldPosition="0">
        <references count="2">
          <reference field="1" count="0"/>
          <reference field="5" count="1" selected="0">
            <x v="13"/>
          </reference>
        </references>
      </pivotArea>
    </format>
    <format dxfId="22">
      <pivotArea dataOnly="0" labelOnly="1" outline="0" fieldPosition="0">
        <references count="2">
          <reference field="1" count="0"/>
          <reference field="5" count="1" selected="0">
            <x v="14"/>
          </reference>
        </references>
      </pivotArea>
    </format>
    <format dxfId="21">
      <pivotArea dataOnly="0" labelOnly="1" outline="0" fieldPosition="0">
        <references count="2">
          <reference field="1" count="0"/>
          <reference field="5" count="1" selected="0">
            <x v="15"/>
          </reference>
        </references>
      </pivotArea>
    </format>
    <format dxfId="20">
      <pivotArea dataOnly="0" labelOnly="1" outline="0" fieldPosition="0">
        <references count="2">
          <reference field="1" count="0"/>
          <reference field="5" count="1" selected="0">
            <x v="16"/>
          </reference>
        </references>
      </pivotArea>
    </format>
    <format dxfId="19">
      <pivotArea field="5" type="button" dataOnly="0" labelOnly="1" outline="0" axis="axisRow" fieldPosition="0"/>
    </format>
    <format dxfId="18">
      <pivotArea field="1" type="button" dataOnly="0" labelOnly="1" outline="0" axis="axisRow" fieldPosition="1"/>
    </format>
    <format dxfId="17">
      <pivotArea dataOnly="0" labelOnly="1" outline="0" fieldPosition="0">
        <references count="1">
          <reference field="4294967294" count="3">
            <x v="0"/>
            <x v="1"/>
            <x v="2"/>
          </reference>
        </references>
      </pivotArea>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5B1058B-E549-4111-B0DD-578FE812C4C6}" autoFormatId="16" applyNumberFormats="0" applyBorderFormats="0" applyFontFormats="0" applyPatternFormats="0" applyAlignmentFormats="0" applyWidthHeightFormats="0">
  <queryTableRefresh nextId="58">
    <queryTableFields count="10">
      <queryTableField id="1" name="Axis" tableColumnId="1"/>
      <queryTableField id="36" name="a1" tableColumnId="8"/>
      <queryTableField id="37" name="p1" tableColumnId="9"/>
      <queryTableField id="38" name="p2" tableColumnId="10"/>
      <queryTableField id="39" name="p3" tableColumnId="12"/>
      <queryTableField id="52" name="P4" tableColumnId="2"/>
      <queryTableField id="53" name="P5" tableColumnId="3"/>
      <queryTableField id="54" name="P6" tableColumnId="4"/>
      <queryTableField id="42" name="a2" tableColumnId="15"/>
      <queryTableField id="11" name="Remark" tableColumnId="11"/>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xis1" xr10:uid="{3E63CEBE-D145-413A-BF09-AC29AD8E171C}" sourceName="Axis">
  <pivotTables>
    <pivotTable tabId="70" name="PivotTable1"/>
  </pivotTables>
  <data>
    <tabular pivotCacheId="1798928700" showMissing="0">
      <items count="17">
        <i x="0" s="1"/>
        <i x="1" s="1"/>
        <i x="15" s="1"/>
        <i x="16" s="1"/>
        <i x="2" s="1"/>
        <i x="3" s="1"/>
        <i x="6" s="1"/>
        <i x="7" s="1"/>
        <i x="4" s="1"/>
        <i x="5" s="1"/>
        <i x="8" s="1"/>
        <i x="9" s="1"/>
        <i x="10" s="1"/>
        <i x="11" s="1"/>
        <i x="1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xis 1" xr10:uid="{70C3F3FD-5BA0-4748-825E-5EF726C90FAC}" cache="Slicer_Axis1" caption="Axis" style="SlicerStyleDark1" rowHeight="2413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41FA5DF-3D55-4F1A-BEC3-FED8075C11A2}" name="PROFILE_DATA" displayName="PROFILE_DATA" ref="B17:Q24" totalsRowShown="0" headerRowDxfId="210" dataDxfId="208" headerRowBorderDxfId="209" tableBorderDxfId="207" totalsRowBorderDxfId="206" headerRowCellStyle="Accent1" dataCellStyle="Note">
  <autoFilter ref="B17:Q24" xr:uid="{EEFAB8D6-3A27-4FEC-87E8-3A577C731C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BBF9D25-B647-4B9D-9228-E0778135B1D6}" name="Segment Number" dataDxfId="205" dataCellStyle="Note"/>
    <tableColumn id="2" xr3:uid="{5745FF70-B9FA-4D61-B540-DBEC79CBFC06}" name="Segment Type" dataDxfId="204" dataCellStyle="Note"/>
    <tableColumn id="3" xr3:uid="{7EB6EE81-BB5A-44F7-AFDC-EF28214E2515}" name="PVC _x000a_[STATION]" dataDxfId="203" dataCellStyle="Note"/>
    <tableColumn id="4" xr3:uid="{147A0C8A-FDA8-4FFA-BCF7-B785E41E7A12}" name="PVC _x000a_[ELEVATION]" dataDxfId="202" dataCellStyle="Note"/>
    <tableColumn id="5" xr3:uid="{6245DCA0-AD30-4987-9F87-A3000EA617D6}" name="PVI_x000a_[STATION]" dataDxfId="201" dataCellStyle="Note"/>
    <tableColumn id="6" xr3:uid="{AE2F0DD1-3971-4910-AAAC-8C62C9514A0E}" name="PVI_x000a_[ELEVATION]" dataDxfId="200" dataCellStyle="Note"/>
    <tableColumn id="7" xr3:uid="{E378CCB2-FFB0-4811-B598-21EBD8ABB2A0}" name="PVT_x000a_[STATION]" dataDxfId="199" dataCellStyle="Note"/>
    <tableColumn id="8" xr3:uid="{39284C8E-B7B4-4684-ADDA-1A6916C5229E}" name="PVT_x000a_[ELEVATION]" dataDxfId="198" dataCellStyle="Note"/>
    <tableColumn id="9" xr3:uid="{38A837BC-DD06-426D-BE3B-57B0CE294263}" name="G1" dataDxfId="197" dataCellStyle="Note">
      <calculatedColumnFormula>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calculatedColumnFormula>
    </tableColumn>
    <tableColumn id="10" xr3:uid="{C2B1D072-FD74-4E68-9AED-8E68CAD7DE03}" name="G2" dataDxfId="196" dataCellStyle="Note">
      <calculatedColumnFormula>IF(PROFILE_DATA[[#This Row],[Segment Type]]="Straight","",IF(OR(PROFILE_DATA[[#This Row],[PVI
'[STATION']]]="",PROFILE_DATA[[#This Row],[PVI
'[ELEVATION']]]="",PROFILE_DATA[[#This Row],[Segment Type]]=""),"",(PROFILE_DATA[[#This Row],[PVT
'[ELEVATION']]]-PROFILE_DATA[[#This Row],[PVI
'[ELEVATION']]])/(PROFILE_DATA[[#This Row],[PVT
'[STATION']]]-PROFILE_DATA[[#This Row],[PVI
'[STATION']]])))</calculatedColumnFormula>
    </tableColumn>
    <tableColumn id="11" xr3:uid="{442AF41C-C3BC-40EB-B3E1-F62A028E6E26}" name="L" dataDxfId="195" dataCellStyle="Note">
      <calculatedColumnFormula>IF(PROFILE_DATA[[#This Row],[Segment Type]]="","",IFERROR(PROFILE_DATA[[#This Row],[PVT
'[STATION']]]-PROFILE_DATA[[#This Row],[PVC 
'[STATION']]],""))</calculatedColumnFormula>
    </tableColumn>
    <tableColumn id="12" xr3:uid="{CDEE8FD6-4F46-4034-8CA0-1806641E5D78}" name="A (difference)" dataDxfId="194" dataCellStyle="Note">
      <calculatedColumnFormula>IFERROR(ABS(PROFILE_DATA[[#This Row],[G2]]-PROFILE_DATA[[#This Row],[G1]]),"")</calculatedColumnFormula>
    </tableColumn>
    <tableColumn id="13" xr3:uid="{46808863-9036-4CCC-8DBE-F0493BB61265}" name="E" dataDxfId="193" dataCellStyle="Note">
      <calculatedColumnFormula>IFERROR(((PROFILE_DATA[[#This Row],[A (difference)]]*PROFILE_DATA[[#This Row],[L]])/8),"")</calculatedColumnFormula>
    </tableColumn>
    <tableColumn id="14" xr3:uid="{C76738BE-66D6-4F5D-B416-3E4E164CEA47}" name="K" dataDxfId="192" dataCellStyle="Note">
      <calculatedColumnFormula>IFERROR(PROFILE_DATA[[#This Row],[L]]/PROFILE_DATA[[#This Row],[A (difference)]],"")</calculatedColumnFormula>
    </tableColumn>
    <tableColumn id="15" xr3:uid="{D1604131-E0EE-4CD0-99B1-7EE8940E8AB3}" name="a" dataDxfId="191" dataCellStyle="Note">
      <calculatedColumnFormula>IFERROR((PROFILE_DATA[[#This Row],[G2]]-PROFILE_DATA[[#This Row],[G1]])/(2*PROFILE_DATA[[#This Row],[L]]),"")</calculatedColumnFormula>
    </tableColumn>
    <tableColumn id="16" xr3:uid="{54D50D25-364A-4E72-BC3A-829E7506DCE1}" name="b" dataDxfId="190" dataCellStyle="Note">
      <calculatedColumnFormula>PROFILE_DATA[[#This Row],[G1]]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28793-24ED-4315-90FC-6235DEE74D61}" name="Station_Elevation2" displayName="Station_Elevation2" ref="D6:E27" totalsRowShown="0" headerRowDxfId="189" dataDxfId="188" tableBorderDxfId="187" headerRowCellStyle="Note">
  <tableColumns count="2">
    <tableColumn id="2" xr3:uid="{ACAF4B11-669D-492E-B1F0-F7F873F794F1}" name="Station" dataDxfId="186" dataCellStyle="Note">
      <calculatedColumnFormula>#REF!</calculatedColumnFormula>
    </tableColumn>
    <tableColumn id="5" xr3:uid="{E76764AD-5A47-48AE-9D08-B71FC5E5E845}" name="Elevation" dataDxfId="185" dataCellStyle="Note">
      <calculatedColumnFormula array="1">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calculatedColumnFormula>
    </tableColumn>
  </tableColumns>
  <tableStyleInfo name="TableStyleLight8"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283402DD-16EE-442C-8A1B-B872CD6EB486}" name="SECTION_DATA" displayName="SECTION_DATA" ref="B8:G58" totalsRowShown="0" headerRowDxfId="184" dataDxfId="182" headerRowBorderDxfId="183" headerRowCellStyle="Accent1" dataCellStyle="Note">
  <autoFilter ref="B8:G58" xr:uid="{2F1023CF-827C-4EC6-A5DE-7BB370ED7B91}">
    <filterColumn colId="0" hiddenButton="1"/>
    <filterColumn colId="1" hiddenButton="1"/>
    <filterColumn colId="2" hiddenButton="1"/>
    <filterColumn colId="3" hiddenButton="1"/>
    <filterColumn colId="4" hiddenButton="1"/>
    <filterColumn colId="5" hiddenButton="1"/>
  </autoFilter>
  <tableColumns count="6">
    <tableColumn id="6" xr3:uid="{225D131F-E70E-43A4-85B9-03100C911160}" name="Section" dataDxfId="181" dataCellStyle="Note"/>
    <tableColumn id="1" xr3:uid="{F89ADA2C-659A-4B04-946F-A9FE25972A14}" name="Alignment-Structure Axis Offset" dataDxfId="180" dataCellStyle="Note"/>
    <tableColumn id="2" xr3:uid="{49D45F87-32B5-40EE-B9A4-7FBD64C5D036}" name="Superelevation (e%)" dataDxfId="179" dataCellStyle="Note"/>
    <tableColumn id="3" xr3:uid="{704D47C5-74EE-4464-96CD-40F627C986C4}" name="Asphalt Thickness" dataDxfId="178" dataCellStyle="Note"/>
    <tableColumn id="4" xr3:uid="{61DFACCA-A7BB-4FCF-B29E-414B883B85B3}" name="Superstructure Depth" dataDxfId="177" dataCellStyle="Note"/>
    <tableColumn id="5" xr3:uid="{62CD833C-7429-407C-AD80-F2EC37EFBDA7}" name="Bearing Height" dataDxfId="176" dataCellStyle="Note"/>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3CF21BC4-5DD6-41F5-9010-310300D029F9}" name="AXIS_DATA" displayName="AXIS_DATA" ref="B8:H58" totalsRowShown="0" headerRowDxfId="175" dataDxfId="173" headerRowBorderDxfId="174" tableBorderDxfId="172" headerRowCellStyle="Accent1">
  <tableColumns count="7">
    <tableColumn id="1" xr3:uid="{8997F858-21DE-49A7-BD9C-5A70CBA45FC8}" name="Axis" dataDxfId="171" dataCellStyle="Note"/>
    <tableColumn id="14" xr3:uid="{5CEB8D4F-DAA7-438F-B220-437A15CDE227}" name="Axis Type" dataDxfId="170" dataCellStyle="Note"/>
    <tableColumn id="2" xr3:uid="{9CC9E9ED-9947-4D60-BE32-AE8B03D8D621}" name="Station" dataDxfId="169" dataCellStyle="Note"/>
    <tableColumn id="13" xr3:uid="{4C9F32ED-D6A7-4CA3-8574-4A44C78A712F}" name="Foundation Level" dataDxfId="168" dataCellStyle="Note"/>
    <tableColumn id="6" xr3:uid="{7C60008A-5325-4ED1-8FA3-3A4C0C6DA472}" name="Foundation Depth" dataDxfId="167" dataCellStyle="Note"/>
    <tableColumn id="21" xr3:uid="{0E26B1B3-1811-46C4-8A12-8A9D838A72E2}" name="Pier Height (IFC DWG)" dataDxfId="166" dataCellStyle="Note"/>
    <tableColumn id="7" xr3:uid="{3862F135-2ACE-4577-BBBA-822FF47AA684}" name="Section" dataDxfId="165" dataCellStyle="No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BC08FF2-D263-4E74-BF84-D2871AAF2495}" name="Level_Verification_Calculations" displayName="Level_Verification_Calculations" ref="B7:Y57" totalsRowShown="0" headerRowDxfId="164" dataDxfId="162" headerRowBorderDxfId="163" tableBorderDxfId="161" headerRowCellStyle="Accent1">
  <autoFilter ref="B7:Y57" xr:uid="{A5CE1ADE-E841-4569-AB12-91493C304C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9" xr3:uid="{2E6544F2-3274-4505-B437-64B8887CF990}" name="#" dataDxfId="160">
      <calculatedColumnFormula>COUNT($B$7:B7)+1</calculatedColumnFormula>
    </tableColumn>
    <tableColumn id="1" xr3:uid="{5A016A15-E199-4EE4-9A4F-599532217D17}" name="Axis" dataDxfId="159" dataCellStyle="Note">
      <calculatedColumnFormula array="1">IF(INDEX(AXIS_DATA[Axis], B8)=0,"",INDEX(AXIS_DATA[Axis], B8))</calculatedColumnFormula>
    </tableColumn>
    <tableColumn id="2" xr3:uid="{446D4F31-B8AB-41B0-9642-43FE75B79941}" name="Station" dataDxfId="158" dataCellStyle="Note">
      <calculatedColumnFormula>IFERROR(VLOOKUP(Level_Verification_Calculations[[#This Row],[Axis]],AXIS_DATA[],MATCH(Level_Verification_Calculations[[#Headers],[Station]],AXIS_DATA[#Headers],0),FALSE),"")</calculatedColumnFormula>
    </tableColumn>
    <tableColumn id="5" xr3:uid="{F240A1F5-1B86-4216-BF46-C9799609EFAC}" name="Alignment Elevation" dataDxfId="157" dataCellStyle="Note">
      <calculatedColumnFormula array="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calculatedColumnFormula>
    </tableColumn>
    <tableColumn id="3" xr3:uid="{66984033-CC2F-4002-B756-82E5C29E48FB}" name="Segment Number" dataDxfId="156" dataCellStyle="Note">
      <calculatedColumnFormula array="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calculatedColumnFormula>
    </tableColumn>
    <tableColumn id="4" xr3:uid="{4A17721F-D0C3-40F1-B165-B82093FB3E04}" name="Segment Type" dataDxfId="155" dataCellStyle="Note">
      <calculatedColumnFormula>IFERROR(VLOOKUP(Level_Verification_Calculations[[#This Row],[Segment Number]],PROFILE_DATA[],MATCH(Level_Verification_Calculations[[#Headers],[Segment Type]],PROFILE_DATA[#Headers],0),FALSE),"")</calculatedColumnFormula>
    </tableColumn>
    <tableColumn id="6" xr3:uid="{7414DF27-46E2-4353-9858-5B644B62A53C}" name="Section" dataDxfId="154">
      <calculatedColumnFormula>IFERROR(VLOOKUP(Level_Verification_Calculations[[#This Row],[Axis]],AXIS_DATA[],MATCH(Level_Verification_Calculations[[#Headers],[Section]],AXIS_DATA[#Headers],0),FALSE),"")</calculatedColumnFormula>
    </tableColumn>
    <tableColumn id="20" xr3:uid="{9CDC0E0A-AB3D-472F-B2D1-9E5E383594E6}" name="Alignment-Structure Axis Offset" dataDxfId="153">
      <calculatedColumnFormula>IFERROR(VLOOKUP(Level_Verification_Calculations[[#This Row],[Section]],SECTION_DATA[],MATCH(Level_Verification_Calculations[[#Headers],[Alignment-Structure Axis Offset]],SECTION_DATA[#Headers],0),0),"")</calculatedColumnFormula>
    </tableColumn>
    <tableColumn id="7" xr3:uid="{623E330A-A02E-4EC5-9844-DA397951324A}" name="Superelevation (e%)" dataDxfId="152">
      <calculatedColumnFormula>IFERROR(VLOOKUP(Level_Verification_Calculations[[#This Row],[Section]],SECTION_DATA[],MATCH(Level_Verification_Calculations[[#Headers],[Superelevation (e%)]],SECTION_DATA[#Headers],0),0),"")</calculatedColumnFormula>
    </tableColumn>
    <tableColumn id="21" xr3:uid="{0C040486-6566-456D-9D11-A69BA76A22E1}" name="Asphalt Thickness" dataDxfId="151">
      <calculatedColumnFormula>IFERROR(VLOOKUP(Level_Verification_Calculations[[#This Row],[Section]],SECTION_DATA[],MATCH(Level_Verification_Calculations[[#Headers],[Asphalt Thickness]],SECTION_DATA[#Headers],0),0),"")</calculatedColumnFormula>
    </tableColumn>
    <tableColumn id="14" xr3:uid="{C3313E45-6B49-4AAF-843A-395364C1CBFE}" name="Structure Elevation" dataDxfId="150" dataCellStyle="Note">
      <calculatedColumnFormula>IFERROR(VLOOKUP(Level_Verification_Calculations[[#This Row],[Section]],SECTION_DATA[],2,FALSE)*Level_Verification_Calculations[[#This Row],[Superelevation (e%)]]+Level_Verification_Calculations[[#This Row],[Alignment Elevation]]-VLOOKUP(Level_Verification_Calculations[[#This Row],[Section]],SECTION_DATA[],4,FALSE),"")</calculatedColumnFormula>
    </tableColumn>
    <tableColumn id="8" xr3:uid="{8E211955-27C9-4872-A36B-0C970AFCE11C}" name="Axis Type" dataDxfId="149">
      <calculatedColumnFormula>IFERROR(VLOOKUP(Level_Verification_Calculations[[#This Row],[Axis]],AXIS_DATA[],MATCH(Level_Verification_Calculations[[#Headers],[Axis Type]],AXIS_DATA[#Headers],0),FALSE),"")</calculatedColumnFormula>
    </tableColumn>
    <tableColumn id="9" xr3:uid="{B69D9469-E9CB-4BF7-B54A-D3895445D995}" name="Bearing Height" dataDxfId="148">
      <calculatedColumnFormula>IFERROR(IF(Level_Verification_Calculations[[#This Row],[Axis Type]]="Fixed axis",0,VLOOKUP(Level_Verification_Calculations[[#This Row],[Section]],SECTION_DATA[],MATCH(Level_Verification_Calculations[[#Headers],[Bearing Height]],SECTION_DATA[#Headers],0),FALSE)),"")</calculatedColumnFormula>
    </tableColumn>
    <tableColumn id="10" xr3:uid="{0095B45D-5A9B-42FD-A80E-6E54826F2552}" name="Foundation Level" dataDxfId="147">
      <calculatedColumnFormula>IFERROR(VLOOKUP(Level_Verification_Calculations[[#This Row],[Axis]],AXIS_DATA[],MATCH(Level_Verification_Calculations[[#Headers],[Foundation Level]],AXIS_DATA[#Headers],0),FALSE),"")</calculatedColumnFormula>
    </tableColumn>
    <tableColumn id="11" xr3:uid="{54C755D6-EA11-4128-8320-1DBE6885D124}" name="Foundation Depth" dataDxfId="146">
      <calculatedColumnFormula>IFERROR(VLOOKUP(Level_Verification_Calculations[[#This Row],[Axis]],AXIS_DATA[],MATCH(Level_Verification_Calculations[[#Headers],[Foundation Depth]],AXIS_DATA[#Headers],0),FALSE),"")</calculatedColumnFormula>
    </tableColumn>
    <tableColumn id="13" xr3:uid="{86426C63-2327-4EC8-ACFA-923F3F43AC59}" name="Top of Foundation Concrete" dataDxfId="145">
      <calculatedColumnFormula>IFERROR(Level_Verification_Calculations[[#This Row],[Foundation Level]]+Level_Verification_Calculations[[#This Row],[Foundation Depth]],"")</calculatedColumnFormula>
    </tableColumn>
    <tableColumn id="12" xr3:uid="{60966D70-6435-4FA5-B20A-AD8D65792983}" name="Pier Height (IFC DWG)" dataDxfId="144">
      <calculatedColumnFormula>IFERROR(VLOOKUP(Level_Verification_Calculations[[#This Row],[Axis]],AXIS_DATA[],MATCH(Level_Verification_Calculations[[#Headers],[Pier Height (IFC DWG)]],AXIS_DATA[#Headers],0),FALSE),"")</calculatedColumnFormula>
    </tableColumn>
    <tableColumn id="15" xr3:uid="{7B9FE843-EDA7-4664-B7D5-95455135571F}" name="Superstructure Depth" dataDxfId="143">
      <calculatedColumnFormula>IFERROR(VLOOKUP(Level_Verification_Calculations[[#This Row],[Section]],SECTION_DATA[],MATCH(Level_Verification_Calculations[[#Headers],[Superstructure Depth]],SECTION_DATA[#Headers],0),FALSE),"")</calculatedColumnFormula>
    </tableColumn>
    <tableColumn id="16" xr3:uid="{9082168C-FFD1-42DA-A6D6-49EDB9B23970}" name="Pier Elevation" dataDxfId="142">
      <calculatedColumnFormula>IFERROR(Level_Verification_Calculations[[#This Row],[Structure Elevation]]-Level_Verification_Calculations[[#This Row],[Superstructure Depth]]-Level_Verification_Calculations[[#This Row],[Bearing Height]],"")</calculatedColumnFormula>
    </tableColumn>
    <tableColumn id="17" xr3:uid="{D770EF5C-0756-4559-906C-260D936203DD}" name="Pier Height (Calculated)" dataDxfId="141">
      <calculatedColumnFormula>IFERROR(Level_Verification_Calculations[[#This Row],[Pier Elevation]]-Level_Verification_Calculations[[#This Row],[Top of Foundation Concrete]],"")</calculatedColumnFormula>
    </tableColumn>
    <tableColumn id="18" xr3:uid="{05A83C32-5FD4-4862-9C90-EBD7FB27D696}" name="Height Difference (m)" dataDxfId="140">
      <calculatedColumnFormula>IFERROR(Level_Verification_Calculations[[#This Row],[Pier Height (IFC DWG)]]-Level_Verification_Calculations[[#This Row],[Pier Height (Calculated)]],"")</calculatedColumnFormula>
    </tableColumn>
    <tableColumn id="23" xr3:uid="{EE6E4C70-CDD5-4147-9AA7-2F346D98F397}" name="Axis Center_x000a_X Coordinate" dataDxfId="139">
      <calculatedColumnFormula>IF(Level_Verification_Calculations[[#This Row],[Axis]]="","",IFERROR(VLOOKUP(Level_Verification_Calculations[[#This Row],[Axis]],COORDINATE_DATA[],MATCH(Level_Verification_Calculations[[#Headers],[Axis Center
X Coordinate]],COORDINATE_DATA[#Headers],0),FALSE),""))</calculatedColumnFormula>
    </tableColumn>
    <tableColumn id="24" xr3:uid="{7D4AE9CF-6159-4B71-B637-48F8FF66ADC1}" name="Axis Center_x000a_Y Coordinate" dataDxfId="138">
      <calculatedColumnFormula>IF(Level_Verification_Calculations[[#This Row],[Axis]]="","",IFERROR(VLOOKUP(Level_Verification_Calculations[[#This Row],[Axis]],COORDINATE_DATA[],MATCH(Level_Verification_Calculations[[#Headers],[Axis Center
Y Coordinate]],COORDINATE_DATA[#Headers],0),FALSE),""))</calculatedColumnFormula>
    </tableColumn>
    <tableColumn id="25" xr3:uid="{616BAEB3-9538-40CA-8EBC-E3A09F63FFAE}" name="θ" dataDxfId="137">
      <calculatedColumnFormula>IF(Level_Verification_Calculations[[#This Row],[Axis]]="","",IFERROR(VLOOKUP(Level_Verification_Calculations[[#This Row],[Axis]],COORDINATE_DATA[],MATCH(Level_Verification_Calculations[[#Headers],[θ]],COORDINATE_DATA[#Headers],0),FALSE),""))</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EA4EE1-6102-4E52-BF26-EEECB8494A3B}" name="Reference_Table" displayName="Reference_Table" ref="A6:D29" headerRowDxfId="136" dataDxfId="135" totalsRowDxfId="134">
  <tableColumns count="4">
    <tableColumn id="5" xr3:uid="{6C8554E5-C520-42CA-9A8F-28C2D90967BF}" name="#" dataDxfId="133"/>
    <tableColumn id="1" xr3:uid="{B81EC66D-C2D7-433C-AE53-34C38571F384}" name="##" totalsRowFunction="custom" dataDxfId="132">
      <totalsRowFormula>Level_Verification_Calculations[[#Headers],[Axis Center
Y Coordinate]]</totalsRowFormula>
    </tableColumn>
    <tableColumn id="2" xr3:uid="{03351A27-0910-4BFB-9B97-9A31EFE523F2}" name="###" dataDxfId="131" totalsRowDxfId="130"/>
    <tableColumn id="3" xr3:uid="{CBA4D59B-0D95-47D9-89A6-A2F496DD0125}" name="#####" dataDxfId="129" totalsRowDxfId="12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C85116-8001-4977-9689-62D7E7288141}" name="Level_Verification" displayName="Level_Verification" ref="B5:K14" tableType="queryTable" totalsRowShown="0" headerRowDxfId="127" dataDxfId="126">
  <tableColumns count="10">
    <tableColumn id="1" xr3:uid="{04F2C2AF-EABC-4A86-A9AA-BBF57D6669AB}" uniqueName="1" name="Axis" queryTableFieldId="1" dataDxfId="125"/>
    <tableColumn id="8" xr3:uid="{6A1F0DF5-F51E-404F-86ED-C4F5915E490C}" uniqueName="8" name="A1" queryTableFieldId="36" dataDxfId="124"/>
    <tableColumn id="9" xr3:uid="{1649E828-1737-4239-BB45-4A45D5DF9EF2}" uniqueName="9" name="P1" queryTableFieldId="37" dataDxfId="123"/>
    <tableColumn id="10" xr3:uid="{0172CF9C-5F4C-42D6-966B-F52E89759D86}" uniqueName="10" name="P2" queryTableFieldId="38" dataDxfId="122"/>
    <tableColumn id="12" xr3:uid="{43232542-8160-4791-9068-0DE8DC423FB5}" uniqueName="12" name="P3" queryTableFieldId="39" dataDxfId="121"/>
    <tableColumn id="2" xr3:uid="{5DF657A6-4B23-4B92-924E-45E6300793C3}" uniqueName="2" name="P4" queryTableFieldId="52" dataDxfId="120"/>
    <tableColumn id="3" xr3:uid="{53284B7C-51A4-4BCC-B5D3-1ECDDB968634}" uniqueName="3" name="P5" queryTableFieldId="53" dataDxfId="119"/>
    <tableColumn id="4" xr3:uid="{BD0894E1-6271-4E46-9405-1AEE2F662FBB}" uniqueName="4" name="P6" queryTableFieldId="54" dataDxfId="118"/>
    <tableColumn id="15" xr3:uid="{12D48AB3-DFFA-4109-BF64-60BA16F36BC3}" uniqueName="15" name="A2" queryTableFieldId="42" dataDxfId="117"/>
    <tableColumn id="11" xr3:uid="{D84385A3-02F7-4837-B4A0-9C9D19AEFE00}" uniqueName="11" name="Remark" queryTableFieldId="11" dataDxfId="116"/>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269B509A-16B6-4244-B189-6DD20FC7C077}" name="COORDINATE_DATA" displayName="COORDINATE_DATA" ref="B9:F59" totalsRowShown="0" headerRowDxfId="115" dataDxfId="113" headerRowBorderDxfId="114" tableBorderDxfId="112" headerRowCellStyle="Accent1">
  <tableColumns count="5">
    <tableColumn id="1" xr3:uid="{2D5F408B-883F-48AD-8E30-7AC61D02C679}" name="Axis" dataDxfId="111" dataCellStyle="Note"/>
    <tableColumn id="14" xr3:uid="{F6DB06E0-39CA-4892-B9EF-3736444B0694}" name="Station" dataDxfId="110" dataCellStyle="Note">
      <calculatedColumnFormula>IF(COORDINATE_DATA[[#This Row],[Axis]]="","",_xlfn.IFNA(VLOOKUP(COORDINATE_DATA[[#This Row],[Axis]],Level_Verification_Calculations[[Axis]:[Station]],MATCH(COORDINATE_DATA[[#Headers],[Station]],Level_Verification_Calculations[[#Headers],[Axis]:[Station]],0),FALSE), "Enter the axis name in the Substructure Data sheet"))</calculatedColumnFormula>
    </tableColumn>
    <tableColumn id="2" xr3:uid="{7FE766D0-FA76-4F46-BA62-D33727FD4048}" name="Axis Center_x000a_X Coordinate" dataDxfId="109" dataCellStyle="Note"/>
    <tableColumn id="13" xr3:uid="{02EAD2C5-1E5E-4AAF-AE82-244CCFC49EC7}" name="Axis Center_x000a_Y Coordinate" dataDxfId="108" dataCellStyle="Note"/>
    <tableColumn id="6" xr3:uid="{2C6E0A1D-94FE-4EEB-BCA6-794A0E14700E}" name="θ" dataDxfId="107" dataCellStyle="Not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9242904A-50E7-424F-8613-02EF3342E54A}" name="SECTION_PROPERTY" displayName="SECTION_PROPERTY" ref="B8:F58" totalsRowShown="0" headerRowDxfId="106" dataDxfId="105" headerRowCellStyle="Accent1">
  <tableColumns count="5">
    <tableColumn id="1" xr3:uid="{2B733381-C63F-419C-879B-4A78915EACAD}" name="Section" dataDxfId="104"/>
    <tableColumn id="2" xr3:uid="{3D29E1AA-5899-4620-AA51-EBE7684BE78D}" name="Point" dataDxfId="103"/>
    <tableColumn id="4" xr3:uid="{5B5B08AE-9DE1-46E4-9F5D-AE0AE4E1D292}" name="ΔX" dataDxfId="102"/>
    <tableColumn id="5" xr3:uid="{D17F7EC0-63C4-4964-B8B8-68D8A537113E}" name="ΔY" dataDxfId="101"/>
    <tableColumn id="7" xr3:uid="{90B4EA1F-51FF-4C53-AE35-4F6A94C33033}" name="North-South" dataDxfId="10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mbi-sheet">
      <a:dk1>
        <a:sysClr val="windowText" lastClr="000000"/>
      </a:dk1>
      <a:lt1>
        <a:sysClr val="window" lastClr="FFFFFF"/>
      </a:lt1>
      <a:dk2>
        <a:srgbClr val="0E2841"/>
      </a:dk2>
      <a:lt2>
        <a:srgbClr val="E8E8E8"/>
      </a:lt2>
      <a:accent1>
        <a:srgbClr val="151B25"/>
      </a:accent1>
      <a:accent2>
        <a:srgbClr val="E97132"/>
      </a:accent2>
      <a:accent3>
        <a:srgbClr val="196B24"/>
      </a:accent3>
      <a:accent4>
        <a:srgbClr val="0F9ED5"/>
      </a:accent4>
      <a:accent5>
        <a:srgbClr val="A02B93"/>
      </a:accent5>
      <a:accent6>
        <a:srgbClr val="08EB69"/>
      </a:accent6>
      <a:hlink>
        <a:srgbClr val="467886"/>
      </a:hlink>
      <a:folHlink>
        <a:srgbClr val="96607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muhammadbayoumi" TargetMode="External"/><Relationship Id="rId2" Type="http://schemas.openxmlformats.org/officeDocument/2006/relationships/hyperlink" Target="https://www.linkedin.com/in/muhammad-bayoumi-ali" TargetMode="External"/><Relationship Id="rId1" Type="http://schemas.openxmlformats.org/officeDocument/2006/relationships/hyperlink" Target="mailto:muhammad.bayoumi.ali@gmail.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8559-C52B-47C9-A405-B93AC1488900}">
  <sheetPr codeName="Sheet1">
    <tabColor theme="0" tint="-4.9989318521683403E-2"/>
    <pageSetUpPr fitToPage="1"/>
  </sheetPr>
  <dimension ref="A1:DZ902"/>
  <sheetViews>
    <sheetView tabSelected="1" zoomScaleNormal="100" workbookViewId="0"/>
  </sheetViews>
  <sheetFormatPr defaultRowHeight="15" x14ac:dyDescent="0.25"/>
  <cols>
    <col min="1" max="3" width="9.140625" style="31"/>
    <col min="4" max="4" width="5.42578125" style="31" customWidth="1"/>
    <col min="5" max="19" width="9.140625" style="31"/>
    <col min="20" max="26" width="9.140625" style="32"/>
    <col min="27" max="27" width="8.7109375" style="33" customWidth="1"/>
    <col min="28" max="28" width="9.7109375" style="33" customWidth="1"/>
    <col min="29" max="29" width="7.28515625" style="33" customWidth="1"/>
    <col min="30" max="46" width="9.140625" style="33"/>
    <col min="47" max="52" width="8.7109375" style="33" customWidth="1"/>
    <col min="53" max="53" width="3.7109375" style="34" customWidth="1"/>
    <col min="54" max="54" width="9.140625" style="34"/>
    <col min="55" max="55" width="9.140625" style="34" customWidth="1"/>
    <col min="56" max="56" width="10" style="34" customWidth="1"/>
    <col min="57" max="58" width="9.140625" style="34"/>
    <col min="59" max="59" width="11" style="34" customWidth="1"/>
    <col min="60" max="78" width="9.140625" style="34"/>
    <col min="79" max="104" width="9.140625" style="31"/>
    <col min="105" max="130" width="9.140625" style="35"/>
    <col min="131" max="16384" width="9.140625" style="34"/>
  </cols>
  <sheetData>
    <row r="1" spans="1:130" s="29" customFormat="1" ht="58.5" customHeight="1" x14ac:dyDescent="0.5">
      <c r="A1" s="26"/>
      <c r="B1" s="26" t="s">
        <v>33</v>
      </c>
      <c r="C1" s="26"/>
      <c r="D1" s="26"/>
      <c r="E1" s="26"/>
      <c r="F1" s="26"/>
      <c r="G1" s="26"/>
      <c r="H1" s="26"/>
      <c r="I1" s="26"/>
      <c r="J1" s="26"/>
      <c r="K1" s="26"/>
      <c r="L1" s="26"/>
      <c r="M1" s="26"/>
      <c r="N1" s="26"/>
      <c r="O1" s="26"/>
      <c r="P1" s="26"/>
      <c r="Q1" s="26"/>
      <c r="R1" s="26"/>
      <c r="S1" s="26"/>
      <c r="T1" s="27"/>
      <c r="U1" s="27"/>
      <c r="V1" s="27"/>
      <c r="W1" s="27"/>
      <c r="X1" s="27"/>
      <c r="Y1" s="27"/>
      <c r="Z1" s="27"/>
      <c r="AA1" s="28"/>
      <c r="AB1" s="28" t="s">
        <v>255</v>
      </c>
      <c r="AC1" s="28"/>
      <c r="AD1" s="28"/>
      <c r="AE1" s="28"/>
      <c r="AF1" s="28"/>
      <c r="AG1" s="28"/>
      <c r="AH1" s="28"/>
      <c r="AI1" s="28"/>
      <c r="AJ1" s="28"/>
      <c r="AK1" s="28"/>
      <c r="AL1" s="28"/>
      <c r="AM1" s="28"/>
      <c r="AN1" s="28"/>
      <c r="AO1" s="28"/>
      <c r="AP1" s="28"/>
      <c r="AQ1" s="28"/>
      <c r="AR1" s="28"/>
      <c r="AS1" s="28"/>
      <c r="AT1" s="28"/>
      <c r="AU1" s="28"/>
      <c r="AV1" s="28"/>
      <c r="AW1" s="28"/>
      <c r="AX1" s="28"/>
      <c r="AY1" s="28"/>
      <c r="AZ1" s="28"/>
      <c r="BB1" s="29" t="s">
        <v>94</v>
      </c>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row>
    <row r="2" spans="1:130" ht="15.75" x14ac:dyDescent="0.25">
      <c r="C2" s="194" t="s">
        <v>277</v>
      </c>
      <c r="AB2" s="201" t="s">
        <v>269</v>
      </c>
      <c r="AC2" s="201"/>
      <c r="BC2" s="45" t="s">
        <v>98</v>
      </c>
    </row>
    <row r="3" spans="1:130" x14ac:dyDescent="0.25">
      <c r="AB3" s="201"/>
    </row>
    <row r="4" spans="1:130" s="37" customFormat="1" ht="18.75" x14ac:dyDescent="0.3">
      <c r="A4" s="36"/>
      <c r="B4" s="36"/>
      <c r="C4" s="189" t="s">
        <v>278</v>
      </c>
      <c r="D4" s="36"/>
      <c r="E4" s="36"/>
      <c r="F4" s="36"/>
      <c r="G4" s="36"/>
      <c r="H4" s="36"/>
      <c r="I4" s="36"/>
      <c r="J4" s="36"/>
      <c r="K4" s="36"/>
      <c r="L4" s="36"/>
      <c r="M4" s="36"/>
      <c r="N4" s="36"/>
      <c r="O4" s="36"/>
      <c r="P4" s="36"/>
      <c r="Q4" s="36"/>
      <c r="R4" s="36"/>
      <c r="S4" s="36"/>
      <c r="T4" s="36"/>
      <c r="U4" s="31"/>
      <c r="V4" s="31"/>
      <c r="W4" s="31"/>
      <c r="X4" s="32"/>
      <c r="Y4" s="31"/>
      <c r="Z4" s="31"/>
      <c r="AA4" s="33"/>
      <c r="AB4" s="195"/>
      <c r="AC4" s="195"/>
      <c r="AD4" s="195"/>
      <c r="AE4" s="31"/>
      <c r="AF4" s="31"/>
      <c r="AG4" s="31"/>
      <c r="AH4" s="31"/>
      <c r="AI4" s="31"/>
      <c r="AJ4" s="31"/>
      <c r="AK4" s="31"/>
      <c r="AL4" s="31"/>
      <c r="AM4" s="31"/>
      <c r="AN4" s="31"/>
      <c r="AO4" s="31"/>
      <c r="AP4" s="31"/>
      <c r="AQ4" s="31"/>
      <c r="AR4" s="195"/>
      <c r="AS4" s="195"/>
      <c r="AT4" s="195"/>
      <c r="AU4" s="195"/>
      <c r="AV4" s="195"/>
      <c r="AW4" s="195"/>
      <c r="AX4" s="195"/>
      <c r="AY4" s="195"/>
      <c r="AZ4" s="33"/>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row>
    <row r="5" spans="1:130" x14ac:dyDescent="0.25">
      <c r="C5" s="39" t="s">
        <v>196</v>
      </c>
      <c r="AB5" s="205" t="s">
        <v>270</v>
      </c>
      <c r="AC5" s="204"/>
      <c r="AD5" s="195"/>
      <c r="AE5" s="196"/>
      <c r="AF5" s="196"/>
      <c r="AG5" s="196"/>
      <c r="AH5" s="31"/>
      <c r="AI5" s="196"/>
      <c r="AJ5" s="196"/>
      <c r="AK5" s="196"/>
      <c r="AL5" s="196"/>
      <c r="AM5" s="196"/>
      <c r="AN5" s="196"/>
      <c r="AO5" s="196"/>
      <c r="AP5" s="196"/>
      <c r="AQ5" s="196"/>
      <c r="AR5" s="195"/>
      <c r="AS5" s="195"/>
      <c r="AT5" s="195"/>
      <c r="AU5" s="195"/>
      <c r="AV5" s="195"/>
      <c r="AW5" s="195"/>
      <c r="AX5" s="195"/>
      <c r="AY5" s="195"/>
      <c r="BB5" s="46" t="s">
        <v>100</v>
      </c>
      <c r="BC5" s="34" t="s">
        <v>99</v>
      </c>
    </row>
    <row r="6" spans="1:130" x14ac:dyDescent="0.25">
      <c r="C6" s="39"/>
      <c r="D6" s="31" t="s">
        <v>78</v>
      </c>
      <c r="AB6" s="206" t="s">
        <v>294</v>
      </c>
      <c r="AC6" s="204"/>
      <c r="AD6" s="195"/>
      <c r="AE6" s="196" t="s">
        <v>235</v>
      </c>
      <c r="AF6" s="196"/>
      <c r="AG6" s="196"/>
      <c r="AH6" s="31"/>
      <c r="AI6" s="196"/>
      <c r="AJ6" s="203" t="s">
        <v>25</v>
      </c>
      <c r="AK6" s="156"/>
      <c r="AL6" s="156"/>
      <c r="AM6" s="59"/>
      <c r="AN6" s="156"/>
      <c r="AO6" s="156"/>
      <c r="AP6" s="156"/>
      <c r="AQ6" s="156"/>
      <c r="AR6" s="156"/>
      <c r="AS6" s="129"/>
      <c r="AT6" s="129"/>
      <c r="AU6" s="129"/>
      <c r="AV6" s="129"/>
      <c r="AW6" s="129"/>
      <c r="AX6" s="129"/>
      <c r="AY6" s="195"/>
      <c r="BB6" s="46" t="s">
        <v>101</v>
      </c>
      <c r="BC6" s="34" t="s">
        <v>105</v>
      </c>
    </row>
    <row r="7" spans="1:130" x14ac:dyDescent="0.25">
      <c r="C7" s="39"/>
      <c r="D7" s="31" t="s">
        <v>66</v>
      </c>
      <c r="AB7" s="206" t="s">
        <v>26</v>
      </c>
      <c r="AC7" s="204"/>
      <c r="AD7" s="195"/>
      <c r="AE7" s="196" t="s">
        <v>236</v>
      </c>
      <c r="AF7" s="196"/>
      <c r="AG7" s="196"/>
      <c r="AH7" s="31"/>
      <c r="AI7" s="196"/>
      <c r="AJ7" s="156" t="s">
        <v>258</v>
      </c>
      <c r="AK7" s="156"/>
      <c r="AL7" s="156"/>
      <c r="AM7" s="59"/>
      <c r="AN7" s="156"/>
      <c r="AO7" s="156"/>
      <c r="AP7" s="156"/>
      <c r="AQ7" s="156"/>
      <c r="AR7" s="156"/>
      <c r="AS7" s="129"/>
      <c r="AT7" s="129"/>
      <c r="AU7" s="129"/>
      <c r="AV7" s="129"/>
      <c r="AW7" s="129"/>
      <c r="AX7" s="129"/>
      <c r="AY7" s="195"/>
      <c r="BB7" s="46" t="s">
        <v>102</v>
      </c>
      <c r="BC7" s="34" t="s">
        <v>108</v>
      </c>
    </row>
    <row r="8" spans="1:130" x14ac:dyDescent="0.25">
      <c r="C8" s="39"/>
      <c r="E8" s="31" t="s">
        <v>83</v>
      </c>
      <c r="AB8" s="207"/>
      <c r="AC8" s="204"/>
      <c r="AD8" s="195"/>
      <c r="AE8" s="196"/>
      <c r="AF8" s="196"/>
      <c r="AG8" s="196"/>
      <c r="AH8" s="31"/>
      <c r="AI8" s="196"/>
      <c r="AJ8" s="156" t="s">
        <v>257</v>
      </c>
      <c r="AK8" s="156"/>
      <c r="AL8" s="156"/>
      <c r="AM8" s="59"/>
      <c r="AN8" s="156"/>
      <c r="AO8" s="156"/>
      <c r="AP8" s="156"/>
      <c r="AQ8" s="156"/>
      <c r="AR8" s="156"/>
      <c r="AS8" s="129"/>
      <c r="AT8" s="129"/>
      <c r="AU8" s="129"/>
      <c r="AV8" s="129"/>
      <c r="AW8" s="129"/>
      <c r="AX8" s="129"/>
      <c r="AY8" s="195"/>
      <c r="BC8" s="48" t="s">
        <v>109</v>
      </c>
    </row>
    <row r="9" spans="1:130" x14ac:dyDescent="0.25">
      <c r="C9" s="39"/>
      <c r="E9" s="31" t="s">
        <v>82</v>
      </c>
      <c r="AB9" s="208" t="s">
        <v>25</v>
      </c>
      <c r="AC9" s="210"/>
      <c r="AD9" s="195"/>
      <c r="AE9" s="195"/>
      <c r="AF9" s="198"/>
      <c r="AG9" s="198"/>
      <c r="AH9" s="31"/>
      <c r="AI9" s="196"/>
      <c r="AJ9" s="156" t="s">
        <v>256</v>
      </c>
      <c r="AK9" s="156"/>
      <c r="AL9" s="156"/>
      <c r="AM9" s="59"/>
      <c r="AN9" s="156"/>
      <c r="AO9" s="156"/>
      <c r="AP9" s="156"/>
      <c r="AQ9" s="156"/>
      <c r="AR9" s="156"/>
      <c r="AS9" s="129"/>
      <c r="AT9" s="129"/>
      <c r="AU9" s="129"/>
      <c r="AV9" s="129"/>
      <c r="AW9" s="129"/>
      <c r="AX9" s="129"/>
      <c r="AY9" s="195"/>
      <c r="BC9" s="47" t="s">
        <v>112</v>
      </c>
      <c r="BD9" s="34" t="s">
        <v>106</v>
      </c>
    </row>
    <row r="10" spans="1:130" x14ac:dyDescent="0.25">
      <c r="C10" s="39"/>
      <c r="D10" s="40" t="s">
        <v>79</v>
      </c>
      <c r="E10" s="41"/>
      <c r="F10" s="41"/>
      <c r="G10" s="41"/>
      <c r="H10" s="41"/>
      <c r="I10" s="41"/>
      <c r="J10" s="41"/>
      <c r="K10" s="41"/>
      <c r="L10" s="41"/>
      <c r="M10" s="41"/>
      <c r="N10" s="41"/>
      <c r="O10" s="41"/>
      <c r="P10" s="41"/>
      <c r="Q10" s="41"/>
      <c r="R10" s="41"/>
      <c r="AB10" s="209" t="s">
        <v>261</v>
      </c>
      <c r="AC10" s="210"/>
      <c r="AD10" s="195"/>
      <c r="AE10" s="195"/>
      <c r="AF10" s="198"/>
      <c r="AG10" s="198"/>
      <c r="AH10" s="31"/>
      <c r="AI10" s="196"/>
      <c r="AJ10" s="156" t="s">
        <v>259</v>
      </c>
      <c r="AK10" s="156"/>
      <c r="AL10" s="156"/>
      <c r="AM10" s="59"/>
      <c r="AN10" s="156"/>
      <c r="AO10" s="156"/>
      <c r="AP10" s="156"/>
      <c r="AQ10" s="156"/>
      <c r="AR10" s="156"/>
      <c r="AS10" s="129"/>
      <c r="AT10" s="129"/>
      <c r="AU10" s="129"/>
      <c r="AV10" s="129"/>
      <c r="AW10" s="129"/>
      <c r="AX10" s="129"/>
      <c r="AY10" s="195"/>
      <c r="BB10" s="46"/>
      <c r="BC10" s="47" t="s">
        <v>112</v>
      </c>
      <c r="BD10" s="34" t="s">
        <v>107</v>
      </c>
    </row>
    <row r="11" spans="1:130" x14ac:dyDescent="0.25">
      <c r="C11" s="39"/>
      <c r="E11" s="42" t="s">
        <v>80</v>
      </c>
      <c r="F11" s="41"/>
      <c r="G11" s="41"/>
      <c r="H11" s="41"/>
      <c r="I11" s="41"/>
      <c r="J11" s="41"/>
      <c r="K11" s="41"/>
      <c r="L11" s="41"/>
      <c r="M11" s="41"/>
      <c r="N11" s="41"/>
      <c r="O11" s="41"/>
      <c r="P11" s="41"/>
      <c r="Q11" s="41"/>
      <c r="R11" s="41"/>
      <c r="AB11" s="209" t="s">
        <v>262</v>
      </c>
      <c r="AC11" s="210"/>
      <c r="AD11" s="195"/>
      <c r="AE11" s="195"/>
      <c r="AF11" s="198"/>
      <c r="AG11" s="198"/>
      <c r="AH11" s="31"/>
      <c r="AI11" s="196"/>
      <c r="AJ11" s="156" t="s">
        <v>260</v>
      </c>
      <c r="AK11" s="156"/>
      <c r="AL11" s="156"/>
      <c r="AM11" s="59"/>
      <c r="AN11" s="156"/>
      <c r="AO11" s="156"/>
      <c r="AP11" s="156"/>
      <c r="AQ11" s="156"/>
      <c r="AR11" s="156"/>
      <c r="AS11" s="129"/>
      <c r="AT11" s="129"/>
      <c r="AU11" s="129"/>
      <c r="AV11" s="129"/>
      <c r="AW11" s="129"/>
      <c r="AX11" s="129"/>
      <c r="AY11" s="195"/>
      <c r="BB11" s="46"/>
      <c r="BC11" s="48" t="s">
        <v>110</v>
      </c>
    </row>
    <row r="12" spans="1:130" x14ac:dyDescent="0.25">
      <c r="C12" s="39"/>
      <c r="E12" s="31" t="s">
        <v>194</v>
      </c>
      <c r="F12" s="41"/>
      <c r="G12" s="41"/>
      <c r="H12" s="41"/>
      <c r="I12" s="41"/>
      <c r="J12" s="41"/>
      <c r="K12" s="41"/>
      <c r="L12" s="41"/>
      <c r="M12" s="41"/>
      <c r="N12" s="41"/>
      <c r="O12" s="41"/>
      <c r="P12" s="41"/>
      <c r="Q12" s="41"/>
      <c r="R12" s="41"/>
      <c r="AB12" s="209" t="s">
        <v>263</v>
      </c>
      <c r="AC12" s="210"/>
      <c r="AD12" s="195"/>
      <c r="AE12" s="195"/>
      <c r="AF12" s="198"/>
      <c r="AG12" s="198"/>
      <c r="AH12" s="31"/>
      <c r="AI12" s="196"/>
      <c r="AJ12" s="195"/>
      <c r="AK12" s="195"/>
      <c r="AL12" s="195"/>
      <c r="AM12" s="195"/>
      <c r="AN12" s="195"/>
      <c r="AO12" s="195"/>
      <c r="AP12" s="195"/>
      <c r="AQ12" s="195"/>
      <c r="AR12" s="195"/>
      <c r="AS12" s="195"/>
      <c r="AT12" s="195"/>
      <c r="AU12" s="195"/>
      <c r="AV12" s="195"/>
      <c r="AW12" s="195"/>
      <c r="AX12" s="195"/>
      <c r="AY12" s="195"/>
      <c r="BC12" s="47" t="s">
        <v>112</v>
      </c>
      <c r="BD12" s="34" t="s">
        <v>111</v>
      </c>
    </row>
    <row r="13" spans="1:130" x14ac:dyDescent="0.25">
      <c r="C13" s="39" t="s">
        <v>279</v>
      </c>
      <c r="AB13" s="209" t="s">
        <v>288</v>
      </c>
      <c r="AC13" s="196"/>
      <c r="AD13" s="195"/>
      <c r="AE13" s="196"/>
      <c r="AF13" s="196"/>
      <c r="AG13" s="196"/>
      <c r="AH13" s="196"/>
      <c r="AI13" s="196"/>
      <c r="AJ13" s="196"/>
      <c r="AK13" s="196"/>
      <c r="AL13" s="196"/>
      <c r="AM13" s="196"/>
      <c r="AN13" s="196"/>
      <c r="AO13" s="196"/>
      <c r="AP13" s="196"/>
      <c r="AQ13" s="196"/>
      <c r="AR13" s="195"/>
      <c r="AS13" s="195"/>
      <c r="AT13" s="195"/>
      <c r="AU13" s="195"/>
      <c r="AV13" s="195"/>
      <c r="AW13" s="195"/>
      <c r="AX13" s="195"/>
      <c r="AY13" s="195"/>
      <c r="BC13" s="47" t="s">
        <v>112</v>
      </c>
      <c r="BD13" s="34" t="s">
        <v>113</v>
      </c>
    </row>
    <row r="14" spans="1:130" x14ac:dyDescent="0.25">
      <c r="D14" s="31" t="s">
        <v>280</v>
      </c>
      <c r="AB14" s="195"/>
      <c r="AC14" s="195"/>
      <c r="AD14" s="195"/>
      <c r="AE14" s="195"/>
      <c r="AF14" s="195"/>
      <c r="AG14" s="195"/>
      <c r="AH14" s="195"/>
      <c r="AI14" s="195"/>
      <c r="AJ14" s="195"/>
      <c r="AK14" s="195"/>
      <c r="AL14" s="195"/>
      <c r="AM14" s="195"/>
      <c r="AN14" s="195"/>
      <c r="AO14" s="195"/>
      <c r="AP14" s="195"/>
      <c r="AQ14" s="195"/>
      <c r="AR14" s="195"/>
      <c r="AS14" s="195"/>
      <c r="AT14" s="195"/>
      <c r="AU14" s="195"/>
      <c r="AV14" s="195"/>
      <c r="AW14" s="195"/>
      <c r="AX14" s="195"/>
      <c r="AY14" s="195"/>
      <c r="BC14" s="47" t="s">
        <v>112</v>
      </c>
      <c r="BD14" s="34" t="s">
        <v>114</v>
      </c>
    </row>
    <row r="15" spans="1:130" x14ac:dyDescent="0.25">
      <c r="D15" s="31" t="s">
        <v>282</v>
      </c>
      <c r="AB15" s="195"/>
      <c r="AC15" s="199" t="s">
        <v>247</v>
      </c>
      <c r="AD15" s="195"/>
      <c r="AE15" s="195"/>
      <c r="AF15" s="195"/>
      <c r="AG15" s="195"/>
      <c r="AH15" s="195"/>
      <c r="AI15" s="195"/>
      <c r="AJ15" s="195"/>
      <c r="AK15" s="195"/>
      <c r="AL15" s="195"/>
      <c r="AM15" s="195"/>
      <c r="AN15" s="195"/>
      <c r="AO15" s="195"/>
      <c r="AP15" s="195"/>
      <c r="AQ15" s="195"/>
      <c r="AR15" s="195"/>
      <c r="AS15" s="195"/>
      <c r="AT15" s="195"/>
      <c r="AU15" s="195"/>
      <c r="AV15" s="195"/>
      <c r="AW15" s="195"/>
      <c r="AX15" s="195"/>
      <c r="AY15" s="195"/>
      <c r="BB15" s="46" t="s">
        <v>103</v>
      </c>
      <c r="BC15" s="34" t="s">
        <v>115</v>
      </c>
    </row>
    <row r="16" spans="1:130" x14ac:dyDescent="0.25">
      <c r="AB16" s="195"/>
      <c r="AC16" s="202" t="s">
        <v>4</v>
      </c>
      <c r="AD16" s="198" t="s">
        <v>246</v>
      </c>
      <c r="AE16" s="196"/>
      <c r="AF16" s="196"/>
      <c r="AG16" s="196"/>
      <c r="AH16" s="195"/>
      <c r="AI16" s="195"/>
      <c r="AJ16" s="195"/>
      <c r="AK16" s="195"/>
      <c r="AL16" s="195"/>
      <c r="AM16" s="195"/>
      <c r="AN16" s="195"/>
      <c r="AO16" s="195"/>
      <c r="AP16" s="195"/>
      <c r="AQ16" s="195"/>
      <c r="AR16" s="195"/>
      <c r="AS16" s="195"/>
      <c r="AT16" s="195"/>
      <c r="AU16" s="195"/>
      <c r="AV16" s="195"/>
      <c r="AW16" s="195"/>
      <c r="AX16" s="195"/>
      <c r="AY16" s="195"/>
      <c r="BB16" s="46" t="s">
        <v>104</v>
      </c>
      <c r="BC16" s="34" t="s">
        <v>116</v>
      </c>
    </row>
    <row r="17" spans="1:130" ht="15.75" thickBot="1" x14ac:dyDescent="0.3">
      <c r="C17" s="222" t="s">
        <v>283</v>
      </c>
      <c r="AB17" s="195"/>
      <c r="AC17" s="202" t="s">
        <v>5</v>
      </c>
      <c r="AD17" s="196" t="s">
        <v>244</v>
      </c>
      <c r="AE17" s="196"/>
      <c r="AF17" s="196"/>
      <c r="AG17" s="196"/>
      <c r="AH17" s="195"/>
      <c r="AI17" s="195"/>
      <c r="AJ17" s="195"/>
      <c r="AK17" s="195"/>
      <c r="AL17" s="195"/>
      <c r="AM17" s="195"/>
      <c r="AN17" s="195"/>
      <c r="AO17" s="195"/>
      <c r="AP17" s="195"/>
      <c r="AQ17" s="195"/>
      <c r="AR17" s="195"/>
      <c r="AS17" s="195"/>
      <c r="AT17" s="195"/>
      <c r="AU17" s="195"/>
      <c r="AV17" s="195"/>
      <c r="AW17" s="195"/>
      <c r="AX17" s="195"/>
      <c r="AY17" s="195"/>
    </row>
    <row r="18" spans="1:130" ht="15" customHeight="1" x14ac:dyDescent="0.25">
      <c r="C18" s="222"/>
      <c r="AB18" s="195"/>
      <c r="AC18" s="202" t="s">
        <v>6</v>
      </c>
      <c r="AD18" s="196" t="s">
        <v>245</v>
      </c>
      <c r="AE18" s="196"/>
      <c r="AF18" s="196"/>
      <c r="AG18" s="196"/>
      <c r="AH18" s="195"/>
      <c r="AI18" s="195"/>
      <c r="AJ18" s="195"/>
      <c r="AK18" s="195"/>
      <c r="AL18" s="195"/>
      <c r="AM18" s="195"/>
      <c r="AN18" s="195"/>
      <c r="AO18" s="195"/>
      <c r="AP18" s="195"/>
      <c r="AQ18" s="195"/>
      <c r="AR18" s="195"/>
      <c r="AS18" s="195"/>
      <c r="AT18" s="195"/>
      <c r="AU18" s="195"/>
      <c r="AV18" s="195"/>
      <c r="AW18" s="195"/>
      <c r="AX18" s="195"/>
      <c r="AY18" s="195"/>
      <c r="BC18" s="271" t="s">
        <v>62</v>
      </c>
      <c r="BD18" s="269" t="s">
        <v>61</v>
      </c>
      <c r="BE18" s="269" t="s">
        <v>124</v>
      </c>
      <c r="BF18" s="269" t="s">
        <v>125</v>
      </c>
      <c r="BG18" s="269" t="s">
        <v>9</v>
      </c>
      <c r="BH18" s="269" t="s">
        <v>10</v>
      </c>
      <c r="BI18" s="269" t="s">
        <v>126</v>
      </c>
      <c r="BJ18" s="273" t="s">
        <v>127</v>
      </c>
    </row>
    <row r="19" spans="1:130" ht="15" customHeight="1" x14ac:dyDescent="0.25">
      <c r="C19" s="222"/>
      <c r="AB19" s="195"/>
      <c r="AC19" s="202" t="s">
        <v>242</v>
      </c>
      <c r="AD19" s="198" t="s">
        <v>265</v>
      </c>
      <c r="AE19" s="198"/>
      <c r="AF19" s="198"/>
      <c r="AG19" s="198"/>
      <c r="AH19" s="184"/>
      <c r="AI19" s="184"/>
      <c r="AJ19" s="184"/>
      <c r="AK19" s="195"/>
      <c r="AL19" s="195"/>
      <c r="AM19" s="195"/>
      <c r="AN19" s="195"/>
      <c r="AO19" s="195"/>
      <c r="AP19" s="195"/>
      <c r="AQ19" s="195"/>
      <c r="AR19" s="195"/>
      <c r="AS19" s="195"/>
      <c r="AT19" s="195"/>
      <c r="AU19" s="195"/>
      <c r="AV19" s="195"/>
      <c r="AW19" s="195"/>
      <c r="AX19" s="195"/>
      <c r="AY19" s="195"/>
      <c r="BC19" s="272"/>
      <c r="BD19" s="270"/>
      <c r="BE19" s="270"/>
      <c r="BF19" s="270"/>
      <c r="BG19" s="270"/>
      <c r="BH19" s="270"/>
      <c r="BI19" s="270"/>
      <c r="BJ19" s="274"/>
    </row>
    <row r="20" spans="1:130" x14ac:dyDescent="0.25">
      <c r="C20" s="222"/>
      <c r="AB20" s="195"/>
      <c r="AC20" s="202"/>
      <c r="AD20" s="197" t="s">
        <v>238</v>
      </c>
      <c r="AE20" s="195"/>
      <c r="AF20" s="195"/>
      <c r="AG20" s="195"/>
      <c r="AH20" s="195"/>
      <c r="AI20" s="195"/>
      <c r="AJ20" s="195"/>
      <c r="AK20" s="195"/>
      <c r="AL20" s="195"/>
      <c r="AM20" s="195"/>
      <c r="AN20" s="195"/>
      <c r="AO20" s="195"/>
      <c r="AP20" s="195"/>
      <c r="AQ20" s="195"/>
      <c r="AR20" s="195"/>
      <c r="AS20" s="195"/>
      <c r="AT20" s="195"/>
      <c r="AU20" s="195"/>
      <c r="AV20" s="195"/>
      <c r="AW20" s="195"/>
      <c r="AX20" s="195"/>
      <c r="AY20" s="195"/>
      <c r="BC20" s="64">
        <v>1</v>
      </c>
      <c r="BD20" s="65" t="s">
        <v>81</v>
      </c>
      <c r="BE20" s="66">
        <v>307.358</v>
      </c>
      <c r="BF20" s="66">
        <v>907.774</v>
      </c>
      <c r="BG20" s="65">
        <v>342.358</v>
      </c>
      <c r="BH20" s="65">
        <v>908.53</v>
      </c>
      <c r="BI20" s="65">
        <v>377.358</v>
      </c>
      <c r="BJ20" s="67">
        <v>908.35500000000002</v>
      </c>
    </row>
    <row r="21" spans="1:130" s="232" customFormat="1" x14ac:dyDescent="0.25">
      <c r="A21" s="31"/>
      <c r="B21" s="31"/>
      <c r="C21" s="222"/>
      <c r="D21" s="31"/>
      <c r="E21" s="31"/>
      <c r="F21" s="31"/>
      <c r="G21" s="31"/>
      <c r="H21" s="31"/>
      <c r="I21" s="31"/>
      <c r="J21" s="31"/>
      <c r="K21" s="31"/>
      <c r="L21" s="31"/>
      <c r="M21" s="31"/>
      <c r="N21" s="31"/>
      <c r="O21" s="31"/>
      <c r="P21" s="31"/>
      <c r="Q21" s="31"/>
      <c r="R21" s="31"/>
      <c r="S21" s="31"/>
      <c r="T21" s="32"/>
      <c r="U21" s="32"/>
      <c r="V21" s="32"/>
      <c r="W21" s="32"/>
      <c r="X21" s="32"/>
      <c r="Y21" s="32"/>
      <c r="Z21" s="32"/>
      <c r="AA21" s="228"/>
      <c r="AB21" s="229"/>
      <c r="AC21" s="230"/>
      <c r="AD21" s="231" t="s">
        <v>239</v>
      </c>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8"/>
      <c r="BC21" s="233">
        <v>2</v>
      </c>
      <c r="BD21" s="234" t="s">
        <v>50</v>
      </c>
      <c r="BE21" s="235">
        <v>377.358</v>
      </c>
      <c r="BF21" s="235">
        <v>908.35500000000002</v>
      </c>
      <c r="BG21" s="234"/>
      <c r="BH21" s="234"/>
      <c r="BI21" s="234">
        <v>407.33100000000002</v>
      </c>
      <c r="BJ21" s="236">
        <v>908.20500000000004</v>
      </c>
      <c r="CA21" s="224"/>
      <c r="CB21" s="224"/>
      <c r="CC21" s="224"/>
      <c r="CD21" s="224"/>
      <c r="CE21" s="224"/>
      <c r="CF21" s="224"/>
      <c r="CG21" s="224"/>
      <c r="CH21" s="224"/>
      <c r="CI21" s="224"/>
      <c r="CJ21" s="224"/>
      <c r="CK21" s="224"/>
      <c r="CL21" s="224"/>
      <c r="CM21" s="224"/>
      <c r="CN21" s="224"/>
      <c r="CO21" s="224"/>
      <c r="CP21" s="224"/>
      <c r="CQ21" s="224"/>
      <c r="CR21" s="224"/>
      <c r="CS21" s="224"/>
      <c r="CT21" s="224"/>
      <c r="CU21" s="224"/>
      <c r="CV21" s="224"/>
      <c r="CW21" s="224"/>
      <c r="CX21" s="224"/>
      <c r="CY21" s="224"/>
      <c r="CZ21" s="224"/>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row>
    <row r="22" spans="1:130" x14ac:dyDescent="0.25">
      <c r="C22" s="222"/>
      <c r="AB22" s="195"/>
      <c r="AC22" s="202" t="s">
        <v>243</v>
      </c>
      <c r="AD22" s="198" t="s">
        <v>264</v>
      </c>
      <c r="AE22" s="195"/>
      <c r="AF22" s="195"/>
      <c r="AG22" s="195"/>
      <c r="AH22" s="195"/>
      <c r="AI22" s="195"/>
      <c r="AJ22" s="195"/>
      <c r="AK22" s="195"/>
      <c r="AL22" s="195"/>
      <c r="AM22" s="195"/>
      <c r="AN22" s="195"/>
      <c r="AO22" s="195"/>
      <c r="AP22" s="195"/>
      <c r="AQ22" s="195"/>
      <c r="AR22" s="195"/>
      <c r="AS22" s="195"/>
      <c r="AT22" s="195"/>
      <c r="AU22" s="195"/>
      <c r="AV22" s="195"/>
      <c r="AW22" s="195"/>
      <c r="AX22" s="195"/>
      <c r="AY22" s="195"/>
      <c r="BC22" s="64">
        <v>3</v>
      </c>
      <c r="BD22" s="65" t="s">
        <v>81</v>
      </c>
      <c r="BE22" s="66">
        <v>407.33100000000002</v>
      </c>
      <c r="BF22" s="66">
        <v>908.20500000000004</v>
      </c>
      <c r="BG22" s="65">
        <v>447.33100000000002</v>
      </c>
      <c r="BH22" s="65">
        <v>908.005</v>
      </c>
      <c r="BI22" s="65">
        <v>487.33100000000002</v>
      </c>
      <c r="BJ22" s="67">
        <v>906.005</v>
      </c>
    </row>
    <row r="23" spans="1:130" x14ac:dyDescent="0.25">
      <c r="C23" s="222"/>
      <c r="AB23" s="195"/>
      <c r="AC23" s="202"/>
      <c r="AD23" s="197" t="s">
        <v>240</v>
      </c>
      <c r="AE23" s="195"/>
      <c r="AF23" s="195"/>
      <c r="AG23" s="195"/>
      <c r="AH23" s="195"/>
      <c r="AI23" s="195"/>
      <c r="AJ23" s="195"/>
      <c r="AK23" s="195"/>
      <c r="AL23" s="195"/>
      <c r="AM23" s="195"/>
      <c r="AN23" s="195"/>
      <c r="AO23" s="195"/>
      <c r="AP23" s="195"/>
      <c r="AQ23" s="195"/>
      <c r="AR23" s="195"/>
      <c r="AS23" s="195"/>
      <c r="AT23" s="195"/>
      <c r="AU23" s="195"/>
      <c r="AV23" s="195"/>
      <c r="AW23" s="195"/>
      <c r="AX23" s="195"/>
      <c r="AY23" s="195"/>
      <c r="BC23" s="64">
        <v>4</v>
      </c>
      <c r="BD23" s="65" t="s">
        <v>50</v>
      </c>
      <c r="BE23" s="66">
        <v>487.33100000000002</v>
      </c>
      <c r="BF23" s="66">
        <v>906.005</v>
      </c>
      <c r="BG23" s="65"/>
      <c r="BH23" s="65"/>
      <c r="BI23" s="65">
        <v>609.60400000000004</v>
      </c>
      <c r="BJ23" s="67">
        <v>899.89099999999996</v>
      </c>
    </row>
    <row r="24" spans="1:130" ht="15.75" thickBot="1" x14ac:dyDescent="0.3">
      <c r="C24" s="222"/>
      <c r="AB24" s="195"/>
      <c r="AC24" s="202"/>
      <c r="AD24" s="197" t="s">
        <v>241</v>
      </c>
      <c r="AE24" s="195"/>
      <c r="AF24" s="195"/>
      <c r="AG24" s="195"/>
      <c r="AH24" s="195"/>
      <c r="AI24" s="195"/>
      <c r="AJ24" s="195"/>
      <c r="AK24" s="195"/>
      <c r="AL24" s="195"/>
      <c r="AM24" s="195"/>
      <c r="AN24" s="195"/>
      <c r="AO24" s="195"/>
      <c r="AP24" s="195"/>
      <c r="AQ24" s="195"/>
      <c r="AR24" s="195"/>
      <c r="AS24" s="195"/>
      <c r="AT24" s="195"/>
      <c r="AU24" s="195"/>
      <c r="AV24" s="195"/>
      <c r="AW24" s="195"/>
      <c r="AX24" s="195"/>
      <c r="AY24" s="195"/>
      <c r="BC24" s="68"/>
      <c r="BD24" s="69"/>
      <c r="BE24" s="70" t="s">
        <v>123</v>
      </c>
      <c r="BF24" s="70" t="s">
        <v>123</v>
      </c>
      <c r="BG24" s="69"/>
      <c r="BH24" s="69"/>
      <c r="BI24" s="69"/>
      <c r="BJ24" s="71"/>
    </row>
    <row r="25" spans="1:130" x14ac:dyDescent="0.25">
      <c r="C25" s="222"/>
      <c r="AB25" s="195"/>
      <c r="AC25" s="202" t="s">
        <v>0</v>
      </c>
      <c r="AD25" s="198" t="s">
        <v>268</v>
      </c>
      <c r="AE25" s="195"/>
      <c r="AF25" s="195"/>
      <c r="AG25" s="195"/>
      <c r="AH25" s="195"/>
      <c r="AI25" s="195"/>
      <c r="AJ25" s="195"/>
      <c r="AK25" s="195"/>
      <c r="AL25" s="195"/>
      <c r="AM25" s="195"/>
      <c r="AN25" s="195"/>
      <c r="AO25" s="195"/>
      <c r="AP25" s="195"/>
      <c r="AQ25" s="195"/>
      <c r="AR25" s="195"/>
      <c r="AS25" s="195"/>
      <c r="AT25" s="195"/>
      <c r="AU25" s="195"/>
      <c r="AV25" s="195"/>
      <c r="AW25" s="195"/>
      <c r="AX25" s="195"/>
      <c r="AY25" s="195"/>
    </row>
    <row r="26" spans="1:130" x14ac:dyDescent="0.25">
      <c r="C26" s="222"/>
      <c r="AB26" s="195"/>
      <c r="AC26" s="202" t="s">
        <v>15</v>
      </c>
      <c r="AD26" s="198" t="s">
        <v>272</v>
      </c>
      <c r="AE26" s="195"/>
      <c r="AF26" s="195"/>
      <c r="AG26" s="195"/>
      <c r="AH26" s="195"/>
      <c r="AI26" s="195"/>
      <c r="AJ26" s="195"/>
      <c r="AK26" s="195"/>
      <c r="AL26" s="195"/>
      <c r="AM26" s="195"/>
      <c r="AN26" s="195"/>
      <c r="AO26" s="195"/>
      <c r="AP26" s="195"/>
      <c r="AQ26" s="195"/>
      <c r="AR26" s="195"/>
      <c r="AS26" s="195"/>
      <c r="AT26" s="195"/>
      <c r="AU26" s="195"/>
      <c r="AV26" s="195"/>
      <c r="AW26" s="195"/>
      <c r="AX26" s="195"/>
      <c r="AY26" s="195"/>
    </row>
    <row r="27" spans="1:130" x14ac:dyDescent="0.25">
      <c r="C27" s="222"/>
      <c r="AB27" s="195"/>
      <c r="AC27" s="202" t="s">
        <v>1</v>
      </c>
      <c r="AD27" s="198" t="s">
        <v>267</v>
      </c>
      <c r="AE27" s="195"/>
      <c r="AF27" s="195"/>
      <c r="AG27" s="195"/>
      <c r="AH27" s="195"/>
      <c r="AI27" s="195"/>
      <c r="AJ27" s="195"/>
      <c r="AK27" s="195"/>
      <c r="AL27" s="195"/>
      <c r="AM27" s="195"/>
      <c r="AN27" s="195"/>
      <c r="AO27" s="195"/>
      <c r="AP27" s="195"/>
      <c r="AQ27" s="195"/>
      <c r="AR27" s="195"/>
      <c r="AS27" s="195"/>
      <c r="AT27" s="195"/>
      <c r="AU27" s="195"/>
      <c r="AV27" s="195"/>
      <c r="AW27" s="195"/>
      <c r="AX27" s="195"/>
      <c r="AY27" s="195"/>
    </row>
    <row r="28" spans="1:130" x14ac:dyDescent="0.25">
      <c r="C28" s="222"/>
      <c r="AB28" s="195"/>
      <c r="AC28" s="202" t="s">
        <v>2</v>
      </c>
      <c r="AD28" s="198" t="s">
        <v>266</v>
      </c>
      <c r="AE28" s="195"/>
      <c r="AF28" s="195"/>
      <c r="AG28" s="195"/>
      <c r="AH28" s="195"/>
      <c r="AI28" s="195"/>
      <c r="AJ28" s="195"/>
      <c r="AK28" s="195"/>
      <c r="AL28" s="195"/>
      <c r="AM28" s="195"/>
      <c r="AN28" s="195"/>
      <c r="AO28" s="195"/>
      <c r="AP28" s="195"/>
      <c r="AQ28" s="195"/>
      <c r="AR28" s="195"/>
      <c r="AS28" s="195"/>
      <c r="AT28" s="195"/>
      <c r="AU28" s="195"/>
      <c r="AV28" s="195"/>
      <c r="AW28" s="195"/>
      <c r="AX28" s="195"/>
      <c r="AY28" s="195"/>
    </row>
    <row r="29" spans="1:130" x14ac:dyDescent="0.25">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5"/>
      <c r="AX29" s="195"/>
      <c r="AY29" s="195"/>
    </row>
    <row r="30" spans="1:130" ht="15" customHeight="1" x14ac:dyDescent="0.25">
      <c r="AB30" s="195"/>
      <c r="AC30" s="199" t="s">
        <v>248</v>
      </c>
      <c r="AD30" s="195"/>
      <c r="AE30" s="195"/>
      <c r="AF30" s="195"/>
      <c r="AG30" s="195"/>
      <c r="AH30" s="195"/>
      <c r="AI30" s="195"/>
      <c r="AJ30" s="195"/>
      <c r="AK30" s="195"/>
      <c r="AL30" s="195"/>
      <c r="AM30" s="195"/>
      <c r="AN30" s="195"/>
      <c r="AO30" s="195"/>
      <c r="AP30" s="195"/>
      <c r="AQ30" s="195"/>
      <c r="AR30" s="195"/>
      <c r="AS30" s="195"/>
      <c r="AT30" s="195"/>
      <c r="AU30" s="195"/>
      <c r="AV30" s="195"/>
      <c r="AW30" s="195"/>
      <c r="AX30" s="195"/>
      <c r="AY30" s="195"/>
    </row>
    <row r="31" spans="1:130" x14ac:dyDescent="0.25">
      <c r="AB31" s="195"/>
      <c r="AC31" s="202" t="s">
        <v>249</v>
      </c>
      <c r="AD31" s="198" t="s">
        <v>251</v>
      </c>
      <c r="AE31" s="196"/>
      <c r="AF31" s="196"/>
      <c r="AG31" s="196"/>
      <c r="AH31" s="195"/>
      <c r="AI31" s="195"/>
      <c r="AJ31" s="195"/>
      <c r="AK31" s="195"/>
      <c r="AL31" s="195"/>
      <c r="AM31" s="195"/>
      <c r="AN31" s="195"/>
      <c r="AO31" s="195"/>
      <c r="AP31" s="195"/>
      <c r="AQ31" s="195"/>
      <c r="AR31" s="195"/>
      <c r="AS31" s="195"/>
      <c r="AT31" s="195"/>
      <c r="AU31" s="195"/>
      <c r="AV31" s="195"/>
      <c r="AW31" s="195"/>
      <c r="AX31" s="195"/>
      <c r="AY31" s="195"/>
    </row>
    <row r="32" spans="1:130" x14ac:dyDescent="0.25">
      <c r="AB32" s="195"/>
      <c r="AC32" s="202" t="s">
        <v>250</v>
      </c>
      <c r="AD32" s="196" t="s">
        <v>252</v>
      </c>
      <c r="AE32" s="196"/>
      <c r="AF32" s="196"/>
      <c r="AG32" s="196"/>
      <c r="AH32" s="195"/>
      <c r="AI32" s="195"/>
      <c r="AJ32" s="195"/>
      <c r="AK32" s="195"/>
      <c r="AL32" s="195"/>
      <c r="AM32" s="195"/>
      <c r="AN32" s="195"/>
      <c r="AO32" s="195"/>
      <c r="AP32" s="195"/>
      <c r="AQ32" s="195"/>
      <c r="AR32" s="195"/>
      <c r="AS32" s="195"/>
      <c r="AT32" s="195"/>
      <c r="AU32" s="195"/>
      <c r="AV32" s="195"/>
      <c r="AW32" s="195"/>
      <c r="AX32" s="195"/>
      <c r="AY32" s="195"/>
    </row>
    <row r="33" spans="1:51" x14ac:dyDescent="0.25">
      <c r="AB33" s="195"/>
      <c r="AC33" s="202" t="s">
        <v>242</v>
      </c>
      <c r="AD33" s="198" t="s">
        <v>271</v>
      </c>
      <c r="AE33" s="196"/>
      <c r="AF33" s="196"/>
      <c r="AG33" s="196"/>
      <c r="AH33" s="195"/>
      <c r="AI33" s="195"/>
      <c r="AJ33" s="195"/>
      <c r="AK33" s="195"/>
      <c r="AL33" s="195"/>
      <c r="AM33" s="195"/>
      <c r="AN33" s="195"/>
      <c r="AO33" s="195"/>
      <c r="AP33" s="195"/>
      <c r="AQ33" s="195"/>
      <c r="AR33" s="195"/>
      <c r="AS33" s="195"/>
      <c r="AT33" s="195"/>
      <c r="AU33" s="195"/>
      <c r="AV33" s="195"/>
      <c r="AW33" s="195"/>
      <c r="AX33" s="195"/>
      <c r="AY33" s="195"/>
    </row>
    <row r="34" spans="1:51" x14ac:dyDescent="0.25">
      <c r="AB34" s="195"/>
      <c r="AC34" s="202"/>
      <c r="AD34" s="197"/>
      <c r="AE34" s="195"/>
      <c r="AF34" s="195"/>
      <c r="AG34" s="195"/>
      <c r="AH34" s="195"/>
      <c r="AI34" s="195"/>
      <c r="AJ34" s="195"/>
      <c r="AK34" s="195"/>
      <c r="AL34" s="195"/>
      <c r="AM34" s="195"/>
      <c r="AN34" s="195"/>
      <c r="AO34" s="195"/>
      <c r="AP34" s="195"/>
      <c r="AQ34" s="195"/>
      <c r="AR34" s="195"/>
      <c r="AS34" s="195"/>
      <c r="AT34" s="195"/>
      <c r="AU34" s="195"/>
      <c r="AV34" s="195"/>
      <c r="AW34" s="195"/>
      <c r="AX34" s="195"/>
      <c r="AY34" s="195"/>
    </row>
    <row r="35" spans="1:51" x14ac:dyDescent="0.25">
      <c r="AB35" s="195"/>
      <c r="AC35" s="202"/>
      <c r="AD35" s="198"/>
      <c r="AE35" s="195"/>
      <c r="AF35" s="195"/>
      <c r="AG35" s="195"/>
      <c r="AH35" s="195"/>
      <c r="AI35" s="195"/>
      <c r="AJ35" s="195"/>
      <c r="AK35" s="195"/>
      <c r="AL35" s="195"/>
      <c r="AM35" s="195"/>
      <c r="AN35" s="195"/>
      <c r="AO35" s="195"/>
      <c r="AP35" s="195"/>
      <c r="AQ35" s="195"/>
      <c r="AR35" s="195"/>
      <c r="AS35" s="195"/>
      <c r="AT35" s="195"/>
      <c r="AU35" s="195"/>
      <c r="AV35" s="195"/>
      <c r="AW35" s="195"/>
      <c r="AX35" s="195"/>
      <c r="AY35" s="195"/>
    </row>
    <row r="36" spans="1:51" x14ac:dyDescent="0.25">
      <c r="AB36" s="195"/>
      <c r="AC36" s="202"/>
      <c r="AD36" s="198"/>
      <c r="AE36" s="195"/>
      <c r="AF36" s="195"/>
      <c r="AG36" s="195"/>
      <c r="AH36" s="195"/>
      <c r="AI36" s="195"/>
      <c r="AJ36" s="195"/>
      <c r="AK36" s="195"/>
      <c r="AL36" s="195"/>
      <c r="AM36" s="195"/>
      <c r="AN36" s="195"/>
      <c r="AO36" s="195"/>
      <c r="AP36" s="195"/>
      <c r="AQ36" s="195"/>
      <c r="AR36" s="195"/>
      <c r="AS36" s="195"/>
      <c r="AT36" s="195"/>
      <c r="AU36" s="195"/>
      <c r="AV36" s="195"/>
      <c r="AW36" s="195"/>
      <c r="AX36" s="195"/>
      <c r="AY36" s="195"/>
    </row>
    <row r="37" spans="1:51" x14ac:dyDescent="0.25">
      <c r="AB37" s="195"/>
      <c r="AC37" s="195"/>
      <c r="AD37" s="195"/>
      <c r="AE37" s="195"/>
      <c r="AF37" s="195"/>
      <c r="AG37" s="195"/>
      <c r="AH37" s="195"/>
      <c r="AI37" s="195"/>
      <c r="AJ37" s="195"/>
      <c r="AK37" s="195"/>
      <c r="AL37" s="195"/>
      <c r="AM37" s="195"/>
      <c r="AN37" s="195"/>
      <c r="AO37" s="195"/>
      <c r="AP37" s="195"/>
      <c r="AQ37" s="195"/>
      <c r="AR37" s="195"/>
      <c r="AS37" s="195"/>
      <c r="AT37" s="195"/>
      <c r="AU37" s="195"/>
      <c r="AV37" s="195"/>
      <c r="AW37" s="195"/>
      <c r="AX37" s="195"/>
      <c r="AY37" s="195"/>
    </row>
    <row r="40" spans="1:51" ht="45.75" x14ac:dyDescent="0.65">
      <c r="B40" s="190" t="s">
        <v>208</v>
      </c>
      <c r="C40" s="26"/>
      <c r="D40" s="26"/>
    </row>
    <row r="41" spans="1:51" ht="33.75" x14ac:dyDescent="0.25">
      <c r="A41" s="224"/>
      <c r="B41" s="225"/>
      <c r="C41" s="194" t="s">
        <v>209</v>
      </c>
      <c r="D41" s="224"/>
      <c r="E41" s="226"/>
      <c r="F41" s="226"/>
      <c r="G41" s="226"/>
      <c r="H41" s="224"/>
      <c r="I41" s="224"/>
      <c r="J41" s="224"/>
      <c r="K41" s="224"/>
      <c r="L41" s="224"/>
      <c r="M41" s="224"/>
      <c r="N41" s="224"/>
      <c r="O41" s="224"/>
      <c r="P41" s="224"/>
      <c r="Q41" s="224"/>
      <c r="R41" s="224"/>
      <c r="S41" s="224"/>
      <c r="T41" s="227"/>
      <c r="U41" s="227"/>
      <c r="V41" s="227"/>
      <c r="W41" s="227"/>
      <c r="X41" s="227"/>
      <c r="Y41" s="227"/>
      <c r="Z41" s="227"/>
    </row>
    <row r="43" spans="1:51" ht="18.75" x14ac:dyDescent="0.3">
      <c r="C43" s="189" t="s">
        <v>206</v>
      </c>
    </row>
    <row r="44" spans="1:51" x14ac:dyDescent="0.25">
      <c r="C44" s="39" t="s">
        <v>196</v>
      </c>
    </row>
    <row r="45" spans="1:51" x14ac:dyDescent="0.25">
      <c r="C45" s="39" t="s">
        <v>90</v>
      </c>
    </row>
    <row r="46" spans="1:51" x14ac:dyDescent="0.25">
      <c r="C46" s="39"/>
      <c r="D46" s="31" t="s">
        <v>67</v>
      </c>
    </row>
    <row r="47" spans="1:51" x14ac:dyDescent="0.25">
      <c r="C47" s="39"/>
      <c r="D47" s="31" t="s">
        <v>68</v>
      </c>
    </row>
    <row r="48" spans="1:51" x14ac:dyDescent="0.25">
      <c r="C48" s="39"/>
      <c r="D48" s="31" t="s">
        <v>69</v>
      </c>
    </row>
    <row r="49" spans="3:4" x14ac:dyDescent="0.25">
      <c r="C49" s="39"/>
      <c r="D49" s="31" t="s">
        <v>70</v>
      </c>
    </row>
    <row r="50" spans="3:4" x14ac:dyDescent="0.25">
      <c r="C50" s="39"/>
      <c r="D50" s="31" t="s">
        <v>71</v>
      </c>
    </row>
    <row r="51" spans="3:4" x14ac:dyDescent="0.25">
      <c r="C51" s="39"/>
      <c r="D51" s="31" t="s">
        <v>72</v>
      </c>
    </row>
    <row r="52" spans="3:4" x14ac:dyDescent="0.25">
      <c r="C52" s="39" t="s">
        <v>91</v>
      </c>
    </row>
    <row r="53" spans="3:4" x14ac:dyDescent="0.25">
      <c r="C53" s="39"/>
      <c r="D53" s="31" t="s">
        <v>214</v>
      </c>
    </row>
    <row r="54" spans="3:4" x14ac:dyDescent="0.25">
      <c r="C54" s="39"/>
      <c r="D54" s="31" t="s">
        <v>215</v>
      </c>
    </row>
    <row r="55" spans="3:4" x14ac:dyDescent="0.25">
      <c r="C55" s="39"/>
      <c r="D55" s="31" t="s">
        <v>73</v>
      </c>
    </row>
    <row r="56" spans="3:4" x14ac:dyDescent="0.25">
      <c r="C56" s="39"/>
      <c r="D56" s="31" t="s">
        <v>74</v>
      </c>
    </row>
    <row r="57" spans="3:4" x14ac:dyDescent="0.25">
      <c r="C57" s="39"/>
      <c r="D57" s="31" t="s">
        <v>75</v>
      </c>
    </row>
    <row r="58" spans="3:4" x14ac:dyDescent="0.25">
      <c r="C58" s="39"/>
      <c r="D58" s="31" t="s">
        <v>76</v>
      </c>
    </row>
    <row r="59" spans="3:4" x14ac:dyDescent="0.25">
      <c r="C59" s="39"/>
      <c r="D59" s="31" t="s">
        <v>77</v>
      </c>
    </row>
    <row r="60" spans="3:4" x14ac:dyDescent="0.25">
      <c r="C60" s="188" t="s">
        <v>203</v>
      </c>
    </row>
    <row r="61" spans="3:4" x14ac:dyDescent="0.25">
      <c r="D61" s="31" t="s">
        <v>204</v>
      </c>
    </row>
    <row r="62" spans="3:4" x14ac:dyDescent="0.25">
      <c r="D62" s="184" t="s">
        <v>205</v>
      </c>
    </row>
    <row r="63" spans="3:4" x14ac:dyDescent="0.25">
      <c r="C63" s="39" t="s">
        <v>199</v>
      </c>
    </row>
    <row r="64" spans="3:4" x14ac:dyDescent="0.25">
      <c r="D64" s="173" t="s">
        <v>197</v>
      </c>
    </row>
    <row r="65" spans="2:30" x14ac:dyDescent="0.25">
      <c r="D65" s="173" t="s">
        <v>195</v>
      </c>
      <c r="AC65" s="211"/>
      <c r="AD65" s="212"/>
    </row>
    <row r="66" spans="2:30" x14ac:dyDescent="0.25">
      <c r="D66" s="173" t="s">
        <v>198</v>
      </c>
    </row>
    <row r="67" spans="2:30" x14ac:dyDescent="0.25">
      <c r="C67" s="39"/>
      <c r="D67" s="173" t="s">
        <v>201</v>
      </c>
    </row>
    <row r="71" spans="2:30" ht="45.75" x14ac:dyDescent="0.65">
      <c r="B71" s="190" t="s">
        <v>210</v>
      </c>
    </row>
    <row r="72" spans="2:30" ht="15.75" x14ac:dyDescent="0.25">
      <c r="C72" s="194" t="s">
        <v>211</v>
      </c>
    </row>
    <row r="74" spans="2:30" ht="18.75" x14ac:dyDescent="0.3">
      <c r="C74" s="189" t="s">
        <v>207</v>
      </c>
    </row>
    <row r="75" spans="2:30" x14ac:dyDescent="0.25">
      <c r="C75" s="39" t="s">
        <v>196</v>
      </c>
    </row>
    <row r="76" spans="2:30" x14ac:dyDescent="0.25">
      <c r="C76" s="39" t="s">
        <v>90</v>
      </c>
    </row>
    <row r="77" spans="2:30" x14ac:dyDescent="0.25">
      <c r="C77" s="39" t="s">
        <v>91</v>
      </c>
    </row>
    <row r="78" spans="2:30" x14ac:dyDescent="0.25">
      <c r="C78" s="39" t="s">
        <v>284</v>
      </c>
    </row>
    <row r="79" spans="2:30" x14ac:dyDescent="0.25">
      <c r="D79" s="31" t="s">
        <v>217</v>
      </c>
    </row>
    <row r="80" spans="2:30" x14ac:dyDescent="0.25">
      <c r="D80" s="31" t="s">
        <v>216</v>
      </c>
      <c r="H80" s="184"/>
    </row>
    <row r="81" spans="3:8" x14ac:dyDescent="0.25">
      <c r="D81" s="31" t="s">
        <v>224</v>
      </c>
      <c r="E81" s="184"/>
      <c r="F81" s="184"/>
      <c r="G81" s="184"/>
      <c r="H81" s="184"/>
    </row>
    <row r="82" spans="3:8" x14ac:dyDescent="0.25">
      <c r="D82" s="31" t="s">
        <v>225</v>
      </c>
    </row>
    <row r="83" spans="3:8" x14ac:dyDescent="0.25">
      <c r="D83" s="31" t="s">
        <v>218</v>
      </c>
    </row>
    <row r="84" spans="3:8" x14ac:dyDescent="0.25">
      <c r="C84" s="39" t="s">
        <v>285</v>
      </c>
    </row>
    <row r="85" spans="3:8" x14ac:dyDescent="0.25">
      <c r="D85" s="31" t="s">
        <v>77</v>
      </c>
    </row>
    <row r="86" spans="3:8" x14ac:dyDescent="0.25">
      <c r="D86" s="31" t="s">
        <v>226</v>
      </c>
    </row>
    <row r="87" spans="3:8" x14ac:dyDescent="0.25">
      <c r="D87" s="31" t="s">
        <v>229</v>
      </c>
    </row>
    <row r="88" spans="3:8" x14ac:dyDescent="0.25">
      <c r="E88" s="31" t="s">
        <v>230</v>
      </c>
    </row>
    <row r="89" spans="3:8" x14ac:dyDescent="0.25">
      <c r="E89" s="31" t="s">
        <v>231</v>
      </c>
    </row>
    <row r="90" spans="3:8" x14ac:dyDescent="0.25">
      <c r="D90" s="31" t="s">
        <v>234</v>
      </c>
    </row>
    <row r="91" spans="3:8" x14ac:dyDescent="0.25">
      <c r="E91" s="31" t="s">
        <v>233</v>
      </c>
    </row>
    <row r="92" spans="3:8" x14ac:dyDescent="0.25">
      <c r="E92" s="31" t="s">
        <v>232</v>
      </c>
    </row>
    <row r="93" spans="3:8" x14ac:dyDescent="0.25">
      <c r="C93" s="188" t="s">
        <v>286</v>
      </c>
    </row>
    <row r="94" spans="3:8" x14ac:dyDescent="0.25">
      <c r="D94" s="31" t="s">
        <v>204</v>
      </c>
    </row>
    <row r="95" spans="3:8" x14ac:dyDescent="0.25">
      <c r="D95" s="184" t="s">
        <v>205</v>
      </c>
    </row>
    <row r="96" spans="3:8" x14ac:dyDescent="0.25">
      <c r="C96" s="39" t="s">
        <v>287</v>
      </c>
      <c r="D96" s="193"/>
    </row>
    <row r="97" spans="3:30" x14ac:dyDescent="0.25">
      <c r="D97" s="173" t="s">
        <v>212</v>
      </c>
    </row>
    <row r="98" spans="3:30" x14ac:dyDescent="0.25">
      <c r="D98" s="173" t="s">
        <v>213</v>
      </c>
      <c r="H98" s="184"/>
    </row>
    <row r="99" spans="3:30" x14ac:dyDescent="0.25">
      <c r="H99" s="184"/>
    </row>
    <row r="100" spans="3:30" x14ac:dyDescent="0.25">
      <c r="H100" s="184"/>
    </row>
    <row r="102" spans="3:30" x14ac:dyDescent="0.25">
      <c r="H102" s="184"/>
    </row>
    <row r="103" spans="3:30" x14ac:dyDescent="0.25">
      <c r="AD103" s="43" t="s">
        <v>84</v>
      </c>
    </row>
    <row r="104" spans="3:30" x14ac:dyDescent="0.25">
      <c r="AD104" s="43" t="s">
        <v>85</v>
      </c>
    </row>
    <row r="105" spans="3:30" x14ac:dyDescent="0.25">
      <c r="C105" s="31" t="s">
        <v>122</v>
      </c>
    </row>
    <row r="106" spans="3:30" x14ac:dyDescent="0.25">
      <c r="E106" s="184"/>
      <c r="F106" s="184"/>
      <c r="G106" s="184"/>
    </row>
    <row r="107" spans="3:30" x14ac:dyDescent="0.25">
      <c r="C107" s="186" t="s">
        <v>96</v>
      </c>
      <c r="D107" s="44"/>
      <c r="E107" s="187" t="s">
        <v>95</v>
      </c>
      <c r="F107" s="184"/>
      <c r="G107" s="184"/>
      <c r="AC107" s="250" t="s">
        <v>120</v>
      </c>
    </row>
    <row r="108" spans="3:30" x14ac:dyDescent="0.25">
      <c r="C108" s="186" t="s">
        <v>192</v>
      </c>
      <c r="E108" s="185" t="s">
        <v>193</v>
      </c>
      <c r="F108" s="184"/>
      <c r="G108" s="184"/>
      <c r="AD108" s="33" t="s">
        <v>118</v>
      </c>
    </row>
    <row r="109" spans="3:30" x14ac:dyDescent="0.25">
      <c r="C109" s="186" t="s">
        <v>97</v>
      </c>
      <c r="E109" s="187" t="s">
        <v>202</v>
      </c>
      <c r="F109" s="184"/>
      <c r="G109" s="184"/>
      <c r="AD109" s="33" t="s">
        <v>119</v>
      </c>
    </row>
    <row r="110" spans="3:30" x14ac:dyDescent="0.25">
      <c r="C110" s="186" t="s">
        <v>191</v>
      </c>
      <c r="E110" s="187" t="s">
        <v>190</v>
      </c>
      <c r="F110" s="184"/>
      <c r="G110" s="184"/>
      <c r="AC110" s="250" t="s">
        <v>121</v>
      </c>
    </row>
    <row r="118" spans="3:4" x14ac:dyDescent="0.25">
      <c r="C118" s="31" t="s">
        <v>296</v>
      </c>
    </row>
    <row r="119" spans="3:4" x14ac:dyDescent="0.25">
      <c r="D119" s="31" t="s">
        <v>33</v>
      </c>
    </row>
    <row r="120" spans="3:4" x14ac:dyDescent="0.25">
      <c r="C120" s="31" t="s">
        <v>254</v>
      </c>
    </row>
    <row r="121" spans="3:4" x14ac:dyDescent="0.25">
      <c r="D121" s="31" t="s">
        <v>208</v>
      </c>
    </row>
    <row r="122" spans="3:4" x14ac:dyDescent="0.25">
      <c r="D122" s="31" t="s">
        <v>210</v>
      </c>
    </row>
    <row r="123" spans="3:4" x14ac:dyDescent="0.25">
      <c r="C123" s="31" t="s">
        <v>297</v>
      </c>
    </row>
    <row r="124" spans="3:4" x14ac:dyDescent="0.25">
      <c r="D124" s="31" t="s">
        <v>253</v>
      </c>
    </row>
    <row r="309" spans="54:66" ht="33.75" x14ac:dyDescent="0.5">
      <c r="BB309" s="29" t="s">
        <v>117</v>
      </c>
    </row>
    <row r="310" spans="54:66" x14ac:dyDescent="0.25">
      <c r="BC310" s="45" t="s">
        <v>131</v>
      </c>
    </row>
    <row r="312" spans="54:66" x14ac:dyDescent="0.25">
      <c r="BB312" s="37"/>
      <c r="BC312" s="37"/>
      <c r="BD312" s="37"/>
      <c r="BE312" s="37"/>
      <c r="BF312" s="37"/>
      <c r="BG312" s="37"/>
      <c r="BH312" s="37"/>
      <c r="BI312" s="37"/>
      <c r="BJ312" s="37"/>
      <c r="BK312" s="37"/>
      <c r="BL312" s="37"/>
      <c r="BM312" s="37"/>
      <c r="BN312" s="37"/>
    </row>
    <row r="313" spans="54:66" x14ac:dyDescent="0.25">
      <c r="BB313" s="46" t="s">
        <v>100</v>
      </c>
      <c r="BC313" s="34" t="s">
        <v>132</v>
      </c>
    </row>
    <row r="314" spans="54:66" x14ac:dyDescent="0.25">
      <c r="BB314" s="46" t="s">
        <v>101</v>
      </c>
      <c r="BC314" s="34" t="s">
        <v>133</v>
      </c>
    </row>
    <row r="315" spans="54:66" x14ac:dyDescent="0.25">
      <c r="BB315" s="52" t="s">
        <v>134</v>
      </c>
      <c r="BC315" s="50" t="s">
        <v>135</v>
      </c>
    </row>
    <row r="316" spans="54:66" x14ac:dyDescent="0.25">
      <c r="BB316" s="52" t="s">
        <v>134</v>
      </c>
      <c r="BC316" s="51" t="s">
        <v>136</v>
      </c>
    </row>
    <row r="317" spans="54:66" x14ac:dyDescent="0.25">
      <c r="BB317" s="52" t="s">
        <v>134</v>
      </c>
      <c r="BC317" s="51" t="s">
        <v>137</v>
      </c>
    </row>
    <row r="318" spans="54:66" x14ac:dyDescent="0.25">
      <c r="BB318" s="52" t="s">
        <v>134</v>
      </c>
      <c r="BC318" s="50" t="s">
        <v>138</v>
      </c>
    </row>
    <row r="319" spans="54:66" x14ac:dyDescent="0.25">
      <c r="BB319" s="52" t="s">
        <v>134</v>
      </c>
      <c r="BC319" s="51" t="s">
        <v>139</v>
      </c>
    </row>
    <row r="320" spans="54:66" x14ac:dyDescent="0.25">
      <c r="BB320" s="52" t="s">
        <v>134</v>
      </c>
      <c r="BC320" s="51" t="s">
        <v>140</v>
      </c>
    </row>
    <row r="321" spans="54:70" x14ac:dyDescent="0.25">
      <c r="BB321" s="46"/>
    </row>
    <row r="322" spans="54:70" ht="15" customHeight="1" x14ac:dyDescent="0.25">
      <c r="BB322" s="53" t="s">
        <v>141</v>
      </c>
      <c r="BC322" s="262" t="s">
        <v>142</v>
      </c>
      <c r="BD322" s="262"/>
      <c r="BE322" s="262"/>
      <c r="BF322" s="262"/>
      <c r="BG322" s="262"/>
      <c r="BH322" s="262"/>
      <c r="BI322" s="262"/>
      <c r="BJ322" s="262"/>
      <c r="BK322" s="262"/>
      <c r="BL322" s="262"/>
      <c r="BM322" s="262"/>
      <c r="BN322" s="262"/>
      <c r="BO322" s="262"/>
      <c r="BP322" s="262"/>
      <c r="BQ322" s="262"/>
      <c r="BR322" s="262"/>
    </row>
    <row r="323" spans="54:70" x14ac:dyDescent="0.25">
      <c r="BC323" s="262"/>
      <c r="BD323" s="262"/>
      <c r="BE323" s="262"/>
      <c r="BF323" s="262"/>
      <c r="BG323" s="262"/>
      <c r="BH323" s="262"/>
      <c r="BI323" s="262"/>
      <c r="BJ323" s="262"/>
      <c r="BK323" s="262"/>
      <c r="BL323" s="262"/>
      <c r="BM323" s="262"/>
      <c r="BN323" s="262"/>
      <c r="BO323" s="262"/>
      <c r="BP323" s="262"/>
      <c r="BQ323" s="262"/>
      <c r="BR323" s="262"/>
    </row>
    <row r="324" spans="54:70" ht="15.75" thickBot="1" x14ac:dyDescent="0.3"/>
    <row r="325" spans="54:70" ht="33.75" x14ac:dyDescent="0.25">
      <c r="BC325" s="49" t="s">
        <v>57</v>
      </c>
      <c r="BD325" s="49" t="s">
        <v>32</v>
      </c>
      <c r="BE325" s="49" t="s">
        <v>143</v>
      </c>
      <c r="BF325" s="49" t="s">
        <v>29</v>
      </c>
      <c r="BG325" s="49" t="s">
        <v>64</v>
      </c>
      <c r="BH325" s="49" t="s">
        <v>65</v>
      </c>
    </row>
    <row r="326" spans="54:70" x14ac:dyDescent="0.25">
      <c r="BC326" s="72" t="s">
        <v>130</v>
      </c>
      <c r="BD326" s="73">
        <v>4.25</v>
      </c>
      <c r="BE326" s="74">
        <v>0.06</v>
      </c>
      <c r="BF326" s="73">
        <v>0.06</v>
      </c>
      <c r="BG326" s="73">
        <v>1.5029999999999999</v>
      </c>
      <c r="BH326" s="73">
        <v>0.4</v>
      </c>
    </row>
    <row r="327" spans="54:70" x14ac:dyDescent="0.25">
      <c r="BC327" s="72" t="s">
        <v>129</v>
      </c>
      <c r="BD327" s="73">
        <v>4.25</v>
      </c>
      <c r="BE327" s="74">
        <v>0.06</v>
      </c>
      <c r="BF327" s="73">
        <v>0.06</v>
      </c>
      <c r="BG327" s="73">
        <v>1.5029999999999999</v>
      </c>
      <c r="BH327" s="73">
        <v>0.4</v>
      </c>
    </row>
    <row r="328" spans="54:70" ht="24" x14ac:dyDescent="0.25">
      <c r="BC328" s="72" t="s">
        <v>128</v>
      </c>
      <c r="BD328" s="73">
        <v>4.25</v>
      </c>
      <c r="BE328" s="74">
        <v>0.06</v>
      </c>
      <c r="BF328" s="73">
        <v>0.06</v>
      </c>
      <c r="BG328" s="73">
        <v>1.5029999999999999</v>
      </c>
      <c r="BH328" s="73">
        <v>0</v>
      </c>
    </row>
    <row r="508" spans="54:66" ht="33.75" x14ac:dyDescent="0.5">
      <c r="BB508" s="29" t="s">
        <v>151</v>
      </c>
    </row>
    <row r="509" spans="54:66" x14ac:dyDescent="0.25">
      <c r="BC509" s="45" t="s">
        <v>152</v>
      </c>
    </row>
    <row r="511" spans="54:66" x14ac:dyDescent="0.25">
      <c r="BB511" s="37"/>
      <c r="BC511" s="37"/>
      <c r="BD511" s="37"/>
      <c r="BE511" s="37"/>
      <c r="BF511" s="37"/>
      <c r="BG511" s="37"/>
      <c r="BH511" s="37"/>
      <c r="BI511" s="37"/>
      <c r="BJ511" s="37"/>
      <c r="BK511" s="37"/>
      <c r="BL511" s="37"/>
      <c r="BM511" s="37"/>
      <c r="BN511" s="37"/>
    </row>
    <row r="512" spans="54:66" x14ac:dyDescent="0.25">
      <c r="BB512" s="46" t="s">
        <v>100</v>
      </c>
      <c r="BC512" s="34" t="s">
        <v>153</v>
      </c>
    </row>
    <row r="513" spans="54:70" x14ac:dyDescent="0.25">
      <c r="BB513" s="46" t="s">
        <v>101</v>
      </c>
      <c r="BC513" s="34" t="s">
        <v>133</v>
      </c>
    </row>
    <row r="514" spans="54:70" x14ac:dyDescent="0.25">
      <c r="BB514" s="52" t="s">
        <v>134</v>
      </c>
      <c r="BC514" s="50" t="s">
        <v>144</v>
      </c>
    </row>
    <row r="515" spans="54:70" x14ac:dyDescent="0.25">
      <c r="BB515" s="52" t="s">
        <v>134</v>
      </c>
      <c r="BC515" s="51" t="s">
        <v>145</v>
      </c>
    </row>
    <row r="516" spans="54:70" x14ac:dyDescent="0.25">
      <c r="BB516" s="52" t="s">
        <v>134</v>
      </c>
      <c r="BC516" s="51" t="s">
        <v>146</v>
      </c>
    </row>
    <row r="517" spans="54:70" x14ac:dyDescent="0.25">
      <c r="BB517" s="52" t="s">
        <v>134</v>
      </c>
      <c r="BC517" s="50" t="s">
        <v>147</v>
      </c>
    </row>
    <row r="518" spans="54:70" x14ac:dyDescent="0.25">
      <c r="BB518" s="52" t="s">
        <v>134</v>
      </c>
      <c r="BC518" s="51" t="s">
        <v>148</v>
      </c>
    </row>
    <row r="519" spans="54:70" x14ac:dyDescent="0.25">
      <c r="BB519" s="52" t="s">
        <v>134</v>
      </c>
      <c r="BC519" s="51" t="s">
        <v>149</v>
      </c>
    </row>
    <row r="520" spans="54:70" x14ac:dyDescent="0.25">
      <c r="BB520" s="52" t="s">
        <v>134</v>
      </c>
      <c r="BC520" s="51" t="s">
        <v>150</v>
      </c>
    </row>
    <row r="521" spans="54:70" x14ac:dyDescent="0.25">
      <c r="BB521" s="46"/>
    </row>
    <row r="522" spans="54:70" x14ac:dyDescent="0.25">
      <c r="BB522" s="53" t="s">
        <v>141</v>
      </c>
      <c r="BC522" s="262" t="s">
        <v>154</v>
      </c>
      <c r="BD522" s="262"/>
      <c r="BE522" s="262"/>
      <c r="BF522" s="262"/>
      <c r="BG522" s="262"/>
      <c r="BH522" s="262"/>
      <c r="BI522" s="262"/>
      <c r="BJ522" s="262"/>
      <c r="BK522" s="262"/>
      <c r="BL522" s="262"/>
      <c r="BM522" s="262"/>
      <c r="BN522" s="262"/>
      <c r="BO522" s="262"/>
      <c r="BP522" s="262"/>
      <c r="BQ522" s="262"/>
      <c r="BR522" s="262"/>
    </row>
    <row r="523" spans="54:70" x14ac:dyDescent="0.25">
      <c r="BC523" s="262"/>
      <c r="BD523" s="262"/>
      <c r="BE523" s="262"/>
      <c r="BF523" s="262"/>
      <c r="BG523" s="262"/>
      <c r="BH523" s="262"/>
      <c r="BI523" s="262"/>
      <c r="BJ523" s="262"/>
      <c r="BK523" s="262"/>
      <c r="BL523" s="262"/>
      <c r="BM523" s="262"/>
      <c r="BN523" s="262"/>
      <c r="BO523" s="262"/>
      <c r="BP523" s="262"/>
      <c r="BQ523" s="262"/>
      <c r="BR523" s="262"/>
    </row>
    <row r="525" spans="54:70" ht="46.5" customHeight="1" x14ac:dyDescent="0.25">
      <c r="BC525" s="54" t="s">
        <v>13</v>
      </c>
      <c r="BD525" s="54" t="s">
        <v>23</v>
      </c>
      <c r="BE525" s="54" t="s">
        <v>14</v>
      </c>
      <c r="BF525" s="54" t="s">
        <v>27</v>
      </c>
      <c r="BG525" s="54" t="s">
        <v>28</v>
      </c>
      <c r="BH525" s="54" t="s">
        <v>43</v>
      </c>
      <c r="BI525" s="54" t="s">
        <v>57</v>
      </c>
    </row>
    <row r="526" spans="54:70" ht="24" x14ac:dyDescent="0.25">
      <c r="BC526" s="72" t="s">
        <v>18</v>
      </c>
      <c r="BD526" s="72" t="s">
        <v>36</v>
      </c>
      <c r="BE526" s="72">
        <v>372.10500000000002</v>
      </c>
      <c r="BF526" s="72">
        <v>897.72699999999998</v>
      </c>
      <c r="BG526" s="72">
        <v>1.5</v>
      </c>
      <c r="BH526" s="72">
        <v>7.5</v>
      </c>
      <c r="BI526" s="72" t="s">
        <v>130</v>
      </c>
    </row>
    <row r="527" spans="54:70" ht="24" x14ac:dyDescent="0.25">
      <c r="BC527" s="72" t="s">
        <v>20</v>
      </c>
      <c r="BD527" s="72" t="s">
        <v>36</v>
      </c>
      <c r="BE527" s="72">
        <v>389.71</v>
      </c>
      <c r="BF527" s="72">
        <v>895.27800000000002</v>
      </c>
      <c r="BG527" s="72">
        <v>1.4</v>
      </c>
      <c r="BH527" s="72">
        <f>10.3-0.4</f>
        <v>9.9</v>
      </c>
      <c r="BI527" s="72" t="s">
        <v>128</v>
      </c>
    </row>
    <row r="528" spans="54:70" ht="24" x14ac:dyDescent="0.25">
      <c r="BC528" s="72" t="s">
        <v>21</v>
      </c>
      <c r="BD528" s="72" t="s">
        <v>36</v>
      </c>
      <c r="BE528" s="72">
        <v>411.23</v>
      </c>
      <c r="BF528" s="72">
        <v>896.95100000000002</v>
      </c>
      <c r="BG528" s="72">
        <v>1.4</v>
      </c>
      <c r="BH528" s="72">
        <f>8.5-0.4</f>
        <v>8.1</v>
      </c>
      <c r="BI528" s="72" t="s">
        <v>128</v>
      </c>
    </row>
    <row r="529" spans="55:61" x14ac:dyDescent="0.25">
      <c r="BC529" s="72" t="s">
        <v>22</v>
      </c>
      <c r="BD529" s="72" t="s">
        <v>37</v>
      </c>
      <c r="BE529" s="72">
        <v>436.66</v>
      </c>
      <c r="BF529" s="72">
        <v>896.89800000000002</v>
      </c>
      <c r="BG529" s="72">
        <v>1.4</v>
      </c>
      <c r="BH529" s="72">
        <v>8</v>
      </c>
      <c r="BI529" s="72" t="s">
        <v>129</v>
      </c>
    </row>
    <row r="530" spans="55:61" ht="24" x14ac:dyDescent="0.25">
      <c r="BC530" s="72" t="s">
        <v>51</v>
      </c>
      <c r="BD530" s="72" t="s">
        <v>36</v>
      </c>
      <c r="BE530" s="72">
        <v>462.09</v>
      </c>
      <c r="BF530" s="72">
        <v>895.30499999999995</v>
      </c>
      <c r="BG530" s="72">
        <v>1.4</v>
      </c>
      <c r="BH530" s="72">
        <f>8.5-0.4</f>
        <v>8.1</v>
      </c>
      <c r="BI530" s="72" t="s">
        <v>128</v>
      </c>
    </row>
    <row r="531" spans="55:61" ht="24" x14ac:dyDescent="0.25">
      <c r="BC531" s="72" t="s">
        <v>52</v>
      </c>
      <c r="BD531" s="72" t="s">
        <v>36</v>
      </c>
      <c r="BE531" s="72">
        <v>483.61</v>
      </c>
      <c r="BF531" s="72">
        <v>896.49800000000005</v>
      </c>
      <c r="BG531" s="72">
        <v>1.4</v>
      </c>
      <c r="BH531" s="72">
        <f>6.2-0.4</f>
        <v>5.8</v>
      </c>
      <c r="BI531" s="72" t="s">
        <v>128</v>
      </c>
    </row>
    <row r="532" spans="55:61" ht="24" x14ac:dyDescent="0.25">
      <c r="BC532" s="72" t="s">
        <v>19</v>
      </c>
      <c r="BD532" s="72" t="s">
        <v>36</v>
      </c>
      <c r="BE532" s="72">
        <v>501.22</v>
      </c>
      <c r="BF532" s="72">
        <v>895.48099999999999</v>
      </c>
      <c r="BG532" s="72">
        <v>1.3</v>
      </c>
      <c r="BH532" s="72">
        <v>5.9</v>
      </c>
      <c r="BI532" s="72" t="s">
        <v>130</v>
      </c>
    </row>
    <row r="882" spans="54:77" ht="33.75" x14ac:dyDescent="0.5">
      <c r="BB882" s="29" t="s">
        <v>60</v>
      </c>
    </row>
    <row r="883" spans="54:77" x14ac:dyDescent="0.25">
      <c r="BC883" s="45" t="s">
        <v>155</v>
      </c>
    </row>
    <row r="884" spans="54:77" ht="15.75" thickBot="1" x14ac:dyDescent="0.3"/>
    <row r="885" spans="54:77" ht="18.75" x14ac:dyDescent="0.25">
      <c r="BB885" s="263" t="s">
        <v>13</v>
      </c>
      <c r="BC885" s="264"/>
      <c r="BD885" s="264"/>
      <c r="BE885" s="264"/>
      <c r="BF885" s="56" t="s">
        <v>18</v>
      </c>
      <c r="BG885" s="56" t="s">
        <v>20</v>
      </c>
      <c r="BH885" s="56" t="s">
        <v>21</v>
      </c>
      <c r="BI885" s="56" t="s">
        <v>22</v>
      </c>
      <c r="BJ885" s="56" t="s">
        <v>51</v>
      </c>
      <c r="BK885" s="56" t="s">
        <v>52</v>
      </c>
      <c r="BL885" s="56" t="s">
        <v>19</v>
      </c>
      <c r="BM885" s="256" t="s">
        <v>38</v>
      </c>
      <c r="BN885" s="256"/>
      <c r="BO885" s="256"/>
      <c r="BP885" s="256"/>
      <c r="BQ885" s="256"/>
      <c r="BR885" s="256"/>
      <c r="BS885" s="256"/>
      <c r="BT885" s="256"/>
      <c r="BU885" s="256"/>
      <c r="BV885" s="256"/>
      <c r="BW885" s="256"/>
      <c r="BX885" s="256"/>
      <c r="BY885" s="257"/>
    </row>
    <row r="886" spans="54:77" ht="30" x14ac:dyDescent="0.25">
      <c r="BB886" s="265" t="s">
        <v>23</v>
      </c>
      <c r="BC886" s="266"/>
      <c r="BD886" s="266"/>
      <c r="BE886" s="266"/>
      <c r="BF886" s="77" t="s">
        <v>36</v>
      </c>
      <c r="BG886" s="77" t="s">
        <v>36</v>
      </c>
      <c r="BH886" s="77" t="s">
        <v>36</v>
      </c>
      <c r="BI886" s="77" t="s">
        <v>37</v>
      </c>
      <c r="BJ886" s="77" t="s">
        <v>36</v>
      </c>
      <c r="BK886" s="77" t="s">
        <v>36</v>
      </c>
      <c r="BL886" s="77" t="s">
        <v>36</v>
      </c>
      <c r="BM886" s="258" t="s">
        <v>87</v>
      </c>
      <c r="BN886" s="258"/>
      <c r="BO886" s="258"/>
      <c r="BP886" s="258"/>
      <c r="BQ886" s="258"/>
      <c r="BR886" s="258"/>
      <c r="BS886" s="258"/>
      <c r="BT886" s="258"/>
      <c r="BU886" s="258"/>
      <c r="BV886" s="258"/>
      <c r="BW886" s="258"/>
      <c r="BX886" s="258"/>
      <c r="BY886" s="259"/>
    </row>
    <row r="887" spans="54:77" ht="15.75" x14ac:dyDescent="0.25">
      <c r="BB887" s="267" t="s">
        <v>14</v>
      </c>
      <c r="BC887" s="268"/>
      <c r="BD887" s="268"/>
      <c r="BE887" s="268"/>
      <c r="BF887" s="55">
        <v>372.10500000000002</v>
      </c>
      <c r="BG887" s="55">
        <v>389.71</v>
      </c>
      <c r="BH887" s="55">
        <v>411.23</v>
      </c>
      <c r="BI887" s="55">
        <v>436.66</v>
      </c>
      <c r="BJ887" s="55">
        <v>462.09</v>
      </c>
      <c r="BK887" s="55">
        <v>483.61</v>
      </c>
      <c r="BL887" s="55">
        <v>501.22</v>
      </c>
      <c r="BM887" s="260" t="s">
        <v>86</v>
      </c>
      <c r="BN887" s="260"/>
      <c r="BO887" s="260"/>
      <c r="BP887" s="260"/>
      <c r="BQ887" s="260"/>
      <c r="BR887" s="260"/>
      <c r="BS887" s="260"/>
      <c r="BT887" s="260"/>
      <c r="BU887" s="260"/>
      <c r="BV887" s="260"/>
      <c r="BW887" s="260"/>
      <c r="BX887" s="260"/>
      <c r="BY887" s="261"/>
    </row>
    <row r="888" spans="54:77" ht="15.75" x14ac:dyDescent="0.25">
      <c r="BB888" s="267" t="s">
        <v>24</v>
      </c>
      <c r="BC888" s="268"/>
      <c r="BD888" s="268"/>
      <c r="BE888" s="268"/>
      <c r="BF888" s="55">
        <v>908.37602213829007</v>
      </c>
      <c r="BG888" s="55">
        <v>908.29318436592939</v>
      </c>
      <c r="BH888" s="55">
        <v>908.18122938096883</v>
      </c>
      <c r="BI888" s="55">
        <v>907.81642649471871</v>
      </c>
      <c r="BJ888" s="55">
        <v>907.08786335221873</v>
      </c>
      <c r="BK888" s="55">
        <v>906.18715585721873</v>
      </c>
      <c r="BL888" s="55">
        <v>905.31051024347153</v>
      </c>
      <c r="BM888" s="260" t="s">
        <v>86</v>
      </c>
      <c r="BN888" s="260"/>
      <c r="BO888" s="260"/>
      <c r="BP888" s="260"/>
      <c r="BQ888" s="260"/>
      <c r="BR888" s="260"/>
      <c r="BS888" s="260"/>
      <c r="BT888" s="260"/>
      <c r="BU888" s="260"/>
      <c r="BV888" s="260"/>
      <c r="BW888" s="260"/>
      <c r="BX888" s="260"/>
      <c r="BY888" s="261"/>
    </row>
    <row r="889" spans="54:77" ht="40.5" customHeight="1" x14ac:dyDescent="0.25">
      <c r="BB889" s="267" t="s">
        <v>31</v>
      </c>
      <c r="BC889" s="268"/>
      <c r="BD889" s="268"/>
      <c r="BE889" s="268"/>
      <c r="BF889" s="55">
        <v>908.57102213829012</v>
      </c>
      <c r="BG889" s="55">
        <v>908.48818436592944</v>
      </c>
      <c r="BH889" s="55">
        <v>908.37622938096888</v>
      </c>
      <c r="BI889" s="55">
        <v>908.01142649471876</v>
      </c>
      <c r="BJ889" s="55">
        <v>907.28286335221878</v>
      </c>
      <c r="BK889" s="55">
        <v>906.38215585721878</v>
      </c>
      <c r="BL889" s="55">
        <v>905.50551024347158</v>
      </c>
      <c r="BM889" s="260" t="s">
        <v>48</v>
      </c>
      <c r="BN889" s="260"/>
      <c r="BO889" s="260"/>
      <c r="BP889" s="260"/>
      <c r="BQ889" s="260"/>
      <c r="BR889" s="260"/>
      <c r="BS889" s="260"/>
      <c r="BT889" s="260"/>
      <c r="BU889" s="260"/>
      <c r="BV889" s="260"/>
      <c r="BW889" s="260"/>
      <c r="BX889" s="260"/>
      <c r="BY889" s="261"/>
    </row>
    <row r="890" spans="54:77" ht="30" customHeight="1" x14ac:dyDescent="0.25">
      <c r="BB890" s="267" t="s">
        <v>44</v>
      </c>
      <c r="BC890" s="268"/>
      <c r="BD890" s="268"/>
      <c r="BE890" s="268"/>
      <c r="BF890" s="55">
        <v>906.6680221382901</v>
      </c>
      <c r="BG890" s="55">
        <v>906.9851843659294</v>
      </c>
      <c r="BH890" s="55">
        <v>906.87322938096884</v>
      </c>
      <c r="BI890" s="55">
        <v>906.50842649471872</v>
      </c>
      <c r="BJ890" s="55">
        <v>905.77986335221874</v>
      </c>
      <c r="BK890" s="55">
        <v>904.87915585721873</v>
      </c>
      <c r="BL890" s="55">
        <v>903.60251024347156</v>
      </c>
      <c r="BM890" s="260" t="s">
        <v>89</v>
      </c>
      <c r="BN890" s="260"/>
      <c r="BO890" s="260"/>
      <c r="BP890" s="260"/>
      <c r="BQ890" s="260"/>
      <c r="BR890" s="260"/>
      <c r="BS890" s="260"/>
      <c r="BT890" s="260"/>
      <c r="BU890" s="260"/>
      <c r="BV890" s="260"/>
      <c r="BW890" s="260"/>
      <c r="BX890" s="260"/>
      <c r="BY890" s="261"/>
    </row>
    <row r="891" spans="54:77" ht="15.75" x14ac:dyDescent="0.25">
      <c r="BB891" s="267" t="s">
        <v>42</v>
      </c>
      <c r="BC891" s="268"/>
      <c r="BD891" s="268"/>
      <c r="BE891" s="268"/>
      <c r="BF891" s="55">
        <v>899.22699999999998</v>
      </c>
      <c r="BG891" s="55">
        <v>896.678</v>
      </c>
      <c r="BH891" s="55">
        <v>898.351</v>
      </c>
      <c r="BI891" s="55">
        <v>898.298</v>
      </c>
      <c r="BJ891" s="55">
        <v>896.70499999999993</v>
      </c>
      <c r="BK891" s="55">
        <v>897.89800000000002</v>
      </c>
      <c r="BL891" s="55">
        <v>896.78099999999995</v>
      </c>
      <c r="BM891" s="260" t="s">
        <v>88</v>
      </c>
      <c r="BN891" s="260"/>
      <c r="BO891" s="260"/>
      <c r="BP891" s="260"/>
      <c r="BQ891" s="260"/>
      <c r="BR891" s="260"/>
      <c r="BS891" s="260"/>
      <c r="BT891" s="260"/>
      <c r="BU891" s="260"/>
      <c r="BV891" s="260"/>
      <c r="BW891" s="260"/>
      <c r="BX891" s="260"/>
      <c r="BY891" s="261"/>
    </row>
    <row r="892" spans="54:77" ht="33" customHeight="1" x14ac:dyDescent="0.25">
      <c r="BB892" s="267" t="s">
        <v>46</v>
      </c>
      <c r="BC892" s="268"/>
      <c r="BD892" s="268"/>
      <c r="BE892" s="268"/>
      <c r="BF892" s="55">
        <v>7.4410221382901227</v>
      </c>
      <c r="BG892" s="55">
        <v>10.307184365929402</v>
      </c>
      <c r="BH892" s="55">
        <v>8.5222293809688381</v>
      </c>
      <c r="BI892" s="55">
        <v>8.2104264947187175</v>
      </c>
      <c r="BJ892" s="55">
        <v>9.0748633522188129</v>
      </c>
      <c r="BK892" s="55">
        <v>6.9811558572187096</v>
      </c>
      <c r="BL892" s="55">
        <v>6.8215102434716073</v>
      </c>
      <c r="BM892" s="260" t="s">
        <v>49</v>
      </c>
      <c r="BN892" s="260"/>
      <c r="BO892" s="260"/>
      <c r="BP892" s="260"/>
      <c r="BQ892" s="260"/>
      <c r="BR892" s="260"/>
      <c r="BS892" s="260"/>
      <c r="BT892" s="260"/>
      <c r="BU892" s="260"/>
      <c r="BV892" s="260"/>
      <c r="BW892" s="260"/>
      <c r="BX892" s="260"/>
      <c r="BY892" s="261"/>
    </row>
    <row r="893" spans="54:77" ht="15.75" x14ac:dyDescent="0.25">
      <c r="BB893" s="275" t="s">
        <v>43</v>
      </c>
      <c r="BC893" s="276"/>
      <c r="BD893" s="276"/>
      <c r="BE893" s="276"/>
      <c r="BF893" s="78">
        <v>7.5</v>
      </c>
      <c r="BG893" s="78">
        <v>9.9</v>
      </c>
      <c r="BH893" s="78">
        <v>8.1</v>
      </c>
      <c r="BI893" s="78">
        <v>8</v>
      </c>
      <c r="BJ893" s="78">
        <v>8.1</v>
      </c>
      <c r="BK893" s="78">
        <v>5.8</v>
      </c>
      <c r="BL893" s="78">
        <v>5.9</v>
      </c>
      <c r="BM893" s="292" t="s">
        <v>87</v>
      </c>
      <c r="BN893" s="292"/>
      <c r="BO893" s="292"/>
      <c r="BP893" s="292"/>
      <c r="BQ893" s="292"/>
      <c r="BR893" s="292"/>
      <c r="BS893" s="292"/>
      <c r="BT893" s="292"/>
      <c r="BU893" s="292"/>
      <c r="BV893" s="292"/>
      <c r="BW893" s="292"/>
      <c r="BX893" s="292"/>
      <c r="BY893" s="293"/>
    </row>
    <row r="894" spans="54:77" ht="15.75" customHeight="1" x14ac:dyDescent="0.25">
      <c r="BB894" s="275" t="s">
        <v>41</v>
      </c>
      <c r="BC894" s="276"/>
      <c r="BD894" s="276"/>
      <c r="BE894" s="276"/>
      <c r="BF894" s="79">
        <v>5.8977861709877288E-2</v>
      </c>
      <c r="BG894" s="79">
        <v>-0.40718436592940144</v>
      </c>
      <c r="BH894" s="79">
        <v>-0.42222938096883844</v>
      </c>
      <c r="BI894" s="79">
        <v>-0.21042649471871755</v>
      </c>
      <c r="BJ894" s="79">
        <v>-0.97486335221881326</v>
      </c>
      <c r="BK894" s="79">
        <v>-1.1811558572187097</v>
      </c>
      <c r="BL894" s="79">
        <v>-0.92151024347160693</v>
      </c>
      <c r="BM894" s="292" t="s">
        <v>45</v>
      </c>
      <c r="BN894" s="292"/>
      <c r="BO894" s="292"/>
      <c r="BP894" s="292"/>
      <c r="BQ894" s="292"/>
      <c r="BR894" s="292"/>
      <c r="BS894" s="292"/>
      <c r="BT894" s="292"/>
      <c r="BU894" s="292"/>
      <c r="BV894" s="292"/>
      <c r="BW894" s="292"/>
      <c r="BX894" s="292"/>
      <c r="BY894" s="293"/>
    </row>
    <row r="897" spans="54:77" ht="15.75" thickBot="1" x14ac:dyDescent="0.3"/>
    <row r="898" spans="54:77" ht="15.75" thickBot="1" x14ac:dyDescent="0.3">
      <c r="BB898" s="294"/>
      <c r="BC898" s="295"/>
      <c r="BD898" s="295"/>
      <c r="BE898" s="295"/>
      <c r="BF898" s="295"/>
      <c r="BG898" s="295"/>
      <c r="BH898" s="12"/>
      <c r="BI898" s="12"/>
      <c r="BJ898" s="57"/>
      <c r="BK898" s="57"/>
      <c r="BL898" s="57"/>
      <c r="BM898" s="57"/>
      <c r="BN898" s="57"/>
      <c r="BO898" s="57"/>
      <c r="BP898" s="57"/>
      <c r="BQ898" s="57"/>
      <c r="BR898" s="57"/>
      <c r="BS898" s="57"/>
      <c r="BT898" s="57"/>
      <c r="BU898" s="57"/>
      <c r="BV898" s="57"/>
      <c r="BW898" s="57"/>
      <c r="BX898" s="57"/>
      <c r="BY898" s="58"/>
    </row>
    <row r="899" spans="54:77" ht="15.75" thickBot="1" x14ac:dyDescent="0.3">
      <c r="BB899" s="296"/>
      <c r="BC899" s="297"/>
      <c r="BD899" s="297"/>
      <c r="BE899" s="297"/>
      <c r="BF899" s="297"/>
      <c r="BG899" s="297"/>
      <c r="BH899" s="75" t="s">
        <v>55</v>
      </c>
      <c r="BI899" s="76" t="s">
        <v>54</v>
      </c>
      <c r="BJ899" s="59"/>
      <c r="BK899" s="283" t="s">
        <v>159</v>
      </c>
      <c r="BL899" s="284"/>
      <c r="BM899" s="284"/>
      <c r="BN899" s="284"/>
      <c r="BO899" s="284"/>
      <c r="BP899" s="284"/>
      <c r="BQ899" s="284"/>
      <c r="BR899" s="284"/>
      <c r="BS899" s="284"/>
      <c r="BT899" s="284"/>
      <c r="BU899" s="284"/>
      <c r="BV899" s="284"/>
      <c r="BW899" s="284"/>
      <c r="BX899" s="285"/>
      <c r="BY899" s="60"/>
    </row>
    <row r="900" spans="54:77" x14ac:dyDescent="0.25">
      <c r="BB900" s="277" t="s">
        <v>156</v>
      </c>
      <c r="BC900" s="278"/>
      <c r="BD900" s="278"/>
      <c r="BE900" s="278"/>
      <c r="BF900" s="278"/>
      <c r="BG900" s="278"/>
      <c r="BH900" s="80">
        <v>0.1</v>
      </c>
      <c r="BI900" s="80">
        <f>BH900*-1</f>
        <v>-0.1</v>
      </c>
      <c r="BJ900" s="59"/>
      <c r="BK900" s="286"/>
      <c r="BL900" s="287"/>
      <c r="BM900" s="287"/>
      <c r="BN900" s="287"/>
      <c r="BO900" s="287"/>
      <c r="BP900" s="287"/>
      <c r="BQ900" s="287"/>
      <c r="BR900" s="287"/>
      <c r="BS900" s="287"/>
      <c r="BT900" s="287"/>
      <c r="BU900" s="287"/>
      <c r="BV900" s="287"/>
      <c r="BW900" s="287"/>
      <c r="BX900" s="288"/>
      <c r="BY900" s="60"/>
    </row>
    <row r="901" spans="54:77" x14ac:dyDescent="0.25">
      <c r="BB901" s="279" t="s">
        <v>157</v>
      </c>
      <c r="BC901" s="280"/>
      <c r="BD901" s="280"/>
      <c r="BE901" s="280"/>
      <c r="BF901" s="280"/>
      <c r="BG901" s="280"/>
      <c r="BH901" s="61">
        <f>BH900+0.1*BH900</f>
        <v>0.11000000000000001</v>
      </c>
      <c r="BI901" s="11"/>
      <c r="BJ901" s="59"/>
      <c r="BK901" s="289"/>
      <c r="BL901" s="290"/>
      <c r="BM901" s="290"/>
      <c r="BN901" s="290"/>
      <c r="BO901" s="290"/>
      <c r="BP901" s="290"/>
      <c r="BQ901" s="290"/>
      <c r="BR901" s="290"/>
      <c r="BS901" s="290"/>
      <c r="BT901" s="290"/>
      <c r="BU901" s="290"/>
      <c r="BV901" s="290"/>
      <c r="BW901" s="290"/>
      <c r="BX901" s="291"/>
      <c r="BY901" s="60"/>
    </row>
    <row r="902" spans="54:77" ht="15.75" thickBot="1" x14ac:dyDescent="0.3">
      <c r="BB902" s="281"/>
      <c r="BC902" s="282"/>
      <c r="BD902" s="282"/>
      <c r="BE902" s="282"/>
      <c r="BF902" s="282"/>
      <c r="BG902" s="282"/>
      <c r="BH902" s="13"/>
      <c r="BI902" s="13"/>
      <c r="BJ902" s="62"/>
      <c r="BK902" s="62"/>
      <c r="BL902" s="62"/>
      <c r="BM902" s="62"/>
      <c r="BN902" s="62"/>
      <c r="BO902" s="62"/>
      <c r="BP902" s="62"/>
      <c r="BQ902" s="62"/>
      <c r="BR902" s="62"/>
      <c r="BS902" s="62"/>
      <c r="BT902" s="62"/>
      <c r="BU902" s="62"/>
      <c r="BV902" s="62"/>
      <c r="BW902" s="62"/>
      <c r="BX902" s="62"/>
      <c r="BY902" s="63"/>
    </row>
  </sheetData>
  <sheetProtection algorithmName="SHA-512" hashValue="wpWnz5r5A4buMPWTppqDrFbtEHWBJH1fPO7f4QMOOVEm+yDWirYLzRUM35pClbMsJz/SO2ARy5VyTtwHbreIFQ==" saltValue="C3sJ2Q6WXYGXd5CWcFmGpQ==" spinCount="100000" sheet="1" objects="1" scenarios="1"/>
  <mergeCells count="36">
    <mergeCell ref="BB900:BG900"/>
    <mergeCell ref="BB901:BG901"/>
    <mergeCell ref="BB902:BG902"/>
    <mergeCell ref="BK899:BX901"/>
    <mergeCell ref="BM892:BY892"/>
    <mergeCell ref="BM893:BY893"/>
    <mergeCell ref="BM894:BY894"/>
    <mergeCell ref="BB898:BG898"/>
    <mergeCell ref="BB899:BG899"/>
    <mergeCell ref="BB894:BE894"/>
    <mergeCell ref="BM889:BY889"/>
    <mergeCell ref="BB890:BE890"/>
    <mergeCell ref="BB891:BE891"/>
    <mergeCell ref="BB892:BE892"/>
    <mergeCell ref="BB893:BE893"/>
    <mergeCell ref="BM890:BY890"/>
    <mergeCell ref="BM891:BY891"/>
    <mergeCell ref="BB889:BE889"/>
    <mergeCell ref="BD18:BD19"/>
    <mergeCell ref="BC18:BC19"/>
    <mergeCell ref="BJ18:BJ19"/>
    <mergeCell ref="BI18:BI19"/>
    <mergeCell ref="BH18:BH19"/>
    <mergeCell ref="BG18:BG19"/>
    <mergeCell ref="BF18:BF19"/>
    <mergeCell ref="BE18:BE19"/>
    <mergeCell ref="BM885:BY885"/>
    <mergeCell ref="BM886:BY886"/>
    <mergeCell ref="BM887:BY887"/>
    <mergeCell ref="BM888:BY888"/>
    <mergeCell ref="BC322:BR323"/>
    <mergeCell ref="BC522:BR523"/>
    <mergeCell ref="BB885:BE885"/>
    <mergeCell ref="BB886:BE886"/>
    <mergeCell ref="BB887:BE887"/>
    <mergeCell ref="BB888:BE888"/>
  </mergeCells>
  <conditionalFormatting sqref="BF894:BL894 BH901">
    <cfRule type="cellIs" dxfId="16" priority="1" operator="notBetween">
      <formula>$BH$900</formula>
      <formula>$BI$900</formula>
    </cfRule>
  </conditionalFormatting>
  <dataValidations disablePrompts="1" count="2">
    <dataValidation type="list" allowBlank="1" showInputMessage="1" showErrorMessage="1" sqref="BD20:BD24" xr:uid="{0133776E-5440-42AB-881F-04A512609F1B}">
      <formula1>"Vertical Curve, Straight"</formula1>
    </dataValidation>
    <dataValidation type="list" allowBlank="1" showInputMessage="1" showErrorMessage="1" sqref="BD526:BD532" xr:uid="{9C0AA0CF-BF16-488B-A573-1C84AD1D83A2}">
      <formula1>"Fixed axis,Bearing axis"</formula1>
    </dataValidation>
  </dataValidations>
  <hyperlinks>
    <hyperlink ref="E107" r:id="rId1" xr:uid="{DBAE064B-5B58-44C0-BF96-9B967D67CC83}"/>
    <hyperlink ref="E109" r:id="rId2" xr:uid="{3973752C-A9AE-40AB-9EEC-6AE444FBB534}"/>
    <hyperlink ref="E110" r:id="rId3" xr:uid="{295400D0-944E-4AF2-AE75-66010BAF5FA4}"/>
  </hyperlinks>
  <pageMargins left="0.25" right="0.25" top="0.75" bottom="0.75" header="0.3" footer="0.3"/>
  <pageSetup paperSize="8" scale="61" fitToHeight="0" orientation="portrait" r:id="rId4"/>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6318405-11E3-4D80-A174-F0EAF9116974}">
          <x14:formula1>
            <xm:f>'(02) Superstructure Data'!$B$9:$B$18</xm:f>
          </x14:formula1>
          <xm:sqref>BI526:BI532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06861-621B-404C-8582-340E7403C572}">
  <sheetPr codeName="Sheet2">
    <tabColor theme="9"/>
    <pageSetUpPr fitToPage="1"/>
  </sheetPr>
  <dimension ref="A1:DA146"/>
  <sheetViews>
    <sheetView zoomScaleNormal="100" zoomScaleSheetLayoutView="100" workbookViewId="0"/>
  </sheetViews>
  <sheetFormatPr defaultColWidth="12.7109375" defaultRowHeight="15" x14ac:dyDescent="0.25"/>
  <cols>
    <col min="1" max="1" width="1.7109375" style="109" customWidth="1"/>
    <col min="2" max="2" width="7.85546875" style="109" customWidth="1"/>
    <col min="3" max="3" width="13" style="109" customWidth="1"/>
    <col min="4" max="4" width="12.7109375" style="109"/>
    <col min="5" max="5" width="16.85546875" style="109" customWidth="1"/>
    <col min="6" max="6" width="10.42578125" style="109" customWidth="1"/>
    <col min="7" max="7" width="10.28515625" style="109" customWidth="1"/>
    <col min="8" max="8" width="10.5703125" style="109" customWidth="1"/>
    <col min="9" max="9" width="12.7109375" style="109"/>
    <col min="10" max="10" width="13" style="109" customWidth="1"/>
    <col min="11" max="11" width="12.7109375" style="109"/>
    <col min="12" max="12" width="11.85546875" style="109" customWidth="1"/>
    <col min="13" max="13" width="17.140625" style="109" customWidth="1"/>
    <col min="14" max="14" width="11" style="109" customWidth="1"/>
    <col min="15" max="15" width="10.42578125" style="109" customWidth="1"/>
    <col min="16" max="16" width="11" style="109" customWidth="1"/>
    <col min="17" max="17" width="16.42578125" style="109" customWidth="1"/>
    <col min="18" max="19" width="1.7109375" style="109" customWidth="1"/>
    <col min="20" max="20" width="3.140625" style="109" customWidth="1"/>
    <col min="21" max="21" width="12.7109375" style="109"/>
    <col min="22" max="22" width="2.85546875" style="109" customWidth="1"/>
    <col min="23" max="23" width="12.7109375" style="109"/>
    <col min="24" max="24" width="17.7109375" style="109" customWidth="1"/>
    <col min="25" max="25" width="18.28515625" style="109" customWidth="1"/>
    <col min="26" max="26" width="10.85546875" style="109" customWidth="1"/>
    <col min="27" max="27" width="10.7109375" style="109" customWidth="1"/>
    <col min="28" max="28" width="12.85546875" style="109" customWidth="1"/>
    <col min="29" max="29" width="16.28515625" style="109" customWidth="1"/>
    <col min="30" max="30" width="13.42578125" style="109" customWidth="1"/>
    <col min="31" max="31" width="10.5703125" style="109" customWidth="1"/>
    <col min="32" max="16384" width="12.7109375" style="109"/>
  </cols>
  <sheetData>
    <row r="1" spans="1:25" s="108" customFormat="1" ht="7.5" customHeight="1" x14ac:dyDescent="0.2"/>
    <row r="2" spans="1:25" s="108" customFormat="1" ht="12" x14ac:dyDescent="0.2">
      <c r="B2" s="111" t="s">
        <v>34</v>
      </c>
      <c r="C2" s="298">
        <f ca="1">TODAY()</f>
        <v>45981</v>
      </c>
      <c r="D2" s="298"/>
      <c r="E2" s="298"/>
      <c r="F2" s="298"/>
      <c r="G2" s="298"/>
      <c r="H2" s="298"/>
      <c r="I2" s="298"/>
      <c r="J2" s="298"/>
      <c r="K2" s="298"/>
      <c r="L2" s="298"/>
      <c r="M2" s="298"/>
      <c r="N2" s="298"/>
      <c r="O2" s="298"/>
      <c r="P2" s="298"/>
      <c r="Q2" s="298"/>
    </row>
    <row r="3" spans="1:25" s="108" customFormat="1" ht="6" customHeight="1" x14ac:dyDescent="0.2"/>
    <row r="4" spans="1:25" s="108" customFormat="1" ht="47.1" customHeight="1" x14ac:dyDescent="0.2">
      <c r="B4" s="299" t="s">
        <v>174</v>
      </c>
      <c r="C4" s="300"/>
      <c r="D4" s="300"/>
      <c r="E4" s="300"/>
      <c r="F4" s="300"/>
      <c r="G4" s="300"/>
      <c r="H4" s="300"/>
      <c r="I4" s="300"/>
      <c r="J4" s="300"/>
      <c r="K4" s="300"/>
      <c r="L4" s="300"/>
      <c r="M4" s="300"/>
      <c r="N4" s="300"/>
      <c r="O4" s="300"/>
      <c r="P4" s="300"/>
      <c r="Q4" s="301"/>
    </row>
    <row r="5" spans="1:25" s="15" customFormat="1" ht="6.95" customHeight="1" x14ac:dyDescent="0.25"/>
    <row r="6" spans="1:25" s="15" customFormat="1" ht="15.75" x14ac:dyDescent="0.25">
      <c r="B6" s="241" t="s">
        <v>270</v>
      </c>
      <c r="C6" s="214"/>
      <c r="D6" s="59"/>
      <c r="E6" s="156"/>
      <c r="F6" s="156"/>
      <c r="G6" s="213"/>
      <c r="H6" s="82"/>
      <c r="I6" s="213"/>
      <c r="J6" s="213"/>
      <c r="K6" s="213"/>
      <c r="L6" s="213"/>
      <c r="M6" s="213"/>
      <c r="N6" s="213"/>
      <c r="O6" s="213"/>
      <c r="P6" s="213"/>
      <c r="Q6" s="213"/>
      <c r="R6" s="129"/>
      <c r="S6" s="129"/>
      <c r="T6" s="129"/>
      <c r="U6" s="129"/>
      <c r="V6" s="129"/>
      <c r="W6" s="129"/>
      <c r="X6" s="129"/>
      <c r="Y6" s="129"/>
    </row>
    <row r="7" spans="1:25" s="15" customFormat="1" x14ac:dyDescent="0.25">
      <c r="B7" s="244" t="s">
        <v>237</v>
      </c>
      <c r="C7" s="215"/>
      <c r="D7" s="156" t="s">
        <v>235</v>
      </c>
      <c r="E7" s="59"/>
      <c r="F7" s="156"/>
      <c r="I7" s="238" t="s">
        <v>25</v>
      </c>
      <c r="J7" s="97"/>
      <c r="K7" s="97"/>
      <c r="L7" s="239"/>
      <c r="M7" s="239"/>
      <c r="N7" s="97"/>
      <c r="O7" s="239"/>
      <c r="P7" s="239"/>
      <c r="Q7" s="240"/>
      <c r="R7" s="156"/>
      <c r="S7" s="156"/>
      <c r="T7" s="129"/>
      <c r="U7" s="218" t="s">
        <v>275</v>
      </c>
      <c r="V7" s="129"/>
      <c r="W7" s="129"/>
      <c r="X7" s="129"/>
      <c r="Y7" s="129"/>
    </row>
    <row r="8" spans="1:25" s="15" customFormat="1" x14ac:dyDescent="0.25">
      <c r="B8" s="244" t="s">
        <v>26</v>
      </c>
      <c r="C8" s="215"/>
      <c r="D8" s="156" t="s">
        <v>236</v>
      </c>
      <c r="E8" s="59"/>
      <c r="F8" s="156"/>
      <c r="I8" s="242" t="s">
        <v>289</v>
      </c>
      <c r="J8" s="97"/>
      <c r="K8" s="97"/>
      <c r="L8" s="239"/>
      <c r="M8" s="239"/>
      <c r="N8" s="97"/>
      <c r="O8" s="239"/>
      <c r="P8" s="239"/>
      <c r="Q8" s="239"/>
      <c r="R8" s="156"/>
      <c r="S8" s="156"/>
      <c r="T8" s="129"/>
      <c r="U8" s="217" t="s">
        <v>276</v>
      </c>
      <c r="V8" s="129"/>
      <c r="W8" s="129"/>
      <c r="X8" s="129"/>
      <c r="Y8" s="129"/>
    </row>
    <row r="9" spans="1:25" s="15" customFormat="1" x14ac:dyDescent="0.25">
      <c r="B9" s="215"/>
      <c r="C9" s="214"/>
      <c r="D9" s="59"/>
      <c r="E9" s="156"/>
      <c r="F9" s="156"/>
      <c r="I9" s="242" t="s">
        <v>290</v>
      </c>
      <c r="J9" s="97"/>
      <c r="K9" s="97"/>
      <c r="L9" s="239"/>
      <c r="M9" s="239"/>
      <c r="N9" s="97"/>
      <c r="O9" s="239"/>
      <c r="P9" s="239"/>
      <c r="Q9" s="239"/>
      <c r="R9" s="156"/>
      <c r="S9" s="156"/>
      <c r="T9" s="129"/>
      <c r="U9" s="129"/>
      <c r="V9" s="129"/>
      <c r="W9" s="129"/>
      <c r="X9" s="129"/>
      <c r="Y9" s="129"/>
    </row>
    <row r="10" spans="1:25" s="15" customFormat="1" x14ac:dyDescent="0.25">
      <c r="B10" s="243" t="s">
        <v>25</v>
      </c>
      <c r="C10" s="216"/>
      <c r="D10" s="59"/>
      <c r="E10" s="59"/>
      <c r="F10" s="156"/>
      <c r="I10" s="242" t="s">
        <v>291</v>
      </c>
      <c r="J10" s="97"/>
      <c r="K10" s="97"/>
      <c r="L10" s="239"/>
      <c r="M10" s="239"/>
      <c r="N10" s="97"/>
      <c r="O10" s="239"/>
      <c r="P10" s="239"/>
      <c r="Q10" s="239"/>
      <c r="R10" s="156"/>
      <c r="S10" s="156"/>
      <c r="T10" s="129"/>
      <c r="U10" s="129"/>
      <c r="V10" s="129"/>
      <c r="W10" s="129"/>
      <c r="X10" s="129"/>
      <c r="Y10" s="129"/>
    </row>
    <row r="11" spans="1:25" s="15" customFormat="1" x14ac:dyDescent="0.25">
      <c r="B11" s="244" t="s">
        <v>261</v>
      </c>
      <c r="C11" s="245"/>
      <c r="D11" s="59"/>
      <c r="E11" s="59"/>
      <c r="F11" s="156"/>
      <c r="I11" s="242" t="s">
        <v>292</v>
      </c>
      <c r="J11" s="97"/>
      <c r="K11" s="97"/>
      <c r="L11" s="239"/>
      <c r="M11" s="239"/>
      <c r="N11" s="97"/>
      <c r="O11" s="239"/>
      <c r="P11" s="239"/>
      <c r="Q11" s="239"/>
      <c r="R11" s="156"/>
      <c r="S11" s="156"/>
      <c r="T11" s="129"/>
      <c r="U11" s="129"/>
      <c r="V11" s="129"/>
      <c r="W11" s="129"/>
      <c r="X11" s="129"/>
      <c r="Y11" s="129"/>
    </row>
    <row r="12" spans="1:25" s="15" customFormat="1" x14ac:dyDescent="0.25">
      <c r="B12" s="244" t="s">
        <v>262</v>
      </c>
      <c r="C12" s="245"/>
      <c r="D12" s="59"/>
      <c r="E12" s="59"/>
      <c r="F12" s="156"/>
      <c r="I12" s="242" t="s">
        <v>293</v>
      </c>
      <c r="J12" s="97"/>
      <c r="K12" s="97"/>
      <c r="L12" s="239"/>
      <c r="M12" s="239"/>
      <c r="N12" s="97"/>
      <c r="O12" s="239"/>
      <c r="P12" s="239"/>
      <c r="Q12" s="239"/>
      <c r="R12" s="156"/>
      <c r="S12" s="156"/>
      <c r="T12" s="129"/>
      <c r="U12" s="129"/>
      <c r="V12" s="129"/>
      <c r="W12" s="129"/>
      <c r="X12" s="129"/>
      <c r="Y12" s="129"/>
    </row>
    <row r="13" spans="1:25" s="15" customFormat="1" x14ac:dyDescent="0.25">
      <c r="B13" s="244" t="s">
        <v>263</v>
      </c>
      <c r="C13" s="245"/>
      <c r="D13" s="59"/>
      <c r="E13" s="59"/>
      <c r="F13" s="156"/>
      <c r="H13" s="156"/>
      <c r="I13" s="109"/>
      <c r="J13" s="109"/>
      <c r="K13" s="156"/>
      <c r="L13" s="156"/>
      <c r="M13" s="59"/>
      <c r="N13" s="156"/>
      <c r="O13" s="156"/>
      <c r="P13" s="156"/>
      <c r="Q13" s="156"/>
      <c r="R13" s="156"/>
      <c r="S13" s="156"/>
      <c r="T13" s="129"/>
      <c r="U13" s="129"/>
      <c r="V13" s="129"/>
      <c r="W13" s="129"/>
      <c r="X13" s="129"/>
      <c r="Y13" s="129"/>
    </row>
    <row r="14" spans="1:25" s="15" customFormat="1" x14ac:dyDescent="0.25">
      <c r="B14" s="244" t="s">
        <v>288</v>
      </c>
      <c r="C14" s="246"/>
      <c r="D14" s="129"/>
      <c r="E14" s="213"/>
      <c r="F14" s="213"/>
      <c r="G14" s="213"/>
      <c r="H14" s="213"/>
      <c r="I14" s="213"/>
      <c r="J14" s="213"/>
      <c r="K14" s="213"/>
      <c r="L14" s="213"/>
      <c r="M14" s="213"/>
      <c r="N14" s="213"/>
      <c r="O14" s="213"/>
      <c r="P14" s="213"/>
      <c r="Q14" s="213"/>
      <c r="R14" s="129"/>
      <c r="S14" s="129"/>
      <c r="T14" s="129"/>
      <c r="U14" s="129"/>
      <c r="V14" s="129"/>
      <c r="W14" s="129"/>
      <c r="X14" s="129"/>
      <c r="Y14" s="129"/>
    </row>
    <row r="15" spans="1:25" s="15" customFormat="1" ht="403.5" customHeight="1" x14ac:dyDescent="0.25">
      <c r="B15" s="302" t="e" vm="1">
        <v>#VALUE!</v>
      </c>
      <c r="C15" s="302"/>
      <c r="D15" s="302"/>
      <c r="E15" s="302"/>
      <c r="F15" s="302"/>
      <c r="G15" s="302"/>
      <c r="H15" s="302"/>
      <c r="I15" s="302"/>
      <c r="J15" s="302"/>
      <c r="K15" s="302"/>
      <c r="L15" s="302"/>
      <c r="M15" s="302"/>
      <c r="N15" s="302"/>
      <c r="O15" s="302"/>
      <c r="P15" s="302"/>
      <c r="Q15" s="302"/>
      <c r="R15" s="129"/>
      <c r="S15" s="129"/>
      <c r="T15" s="129"/>
      <c r="U15" s="129"/>
      <c r="V15" s="129"/>
      <c r="W15" s="129"/>
      <c r="X15" s="129"/>
      <c r="Y15" s="129"/>
    </row>
    <row r="16" spans="1:25" s="95" customFormat="1" ht="12" x14ac:dyDescent="0.2">
      <c r="A16" s="108"/>
      <c r="D16" s="96"/>
      <c r="E16" s="96"/>
      <c r="F16" s="96"/>
      <c r="N16" s="96"/>
      <c r="O16" s="96"/>
      <c r="P16" s="96"/>
      <c r="Q16" s="96"/>
      <c r="R16" s="108"/>
      <c r="S16" s="108"/>
    </row>
    <row r="17" spans="2:32" s="121" customFormat="1" ht="33.75" x14ac:dyDescent="0.2">
      <c r="B17" s="91" t="s">
        <v>62</v>
      </c>
      <c r="C17" s="92" t="s">
        <v>61</v>
      </c>
      <c r="D17" s="92" t="s">
        <v>7</v>
      </c>
      <c r="E17" s="92" t="s">
        <v>8</v>
      </c>
      <c r="F17" s="92" t="s">
        <v>9</v>
      </c>
      <c r="G17" s="92" t="s">
        <v>10</v>
      </c>
      <c r="H17" s="92" t="s">
        <v>11</v>
      </c>
      <c r="I17" s="92" t="s">
        <v>12</v>
      </c>
      <c r="J17" s="93" t="s">
        <v>273</v>
      </c>
      <c r="K17" s="93" t="s">
        <v>274</v>
      </c>
      <c r="L17" s="93" t="s">
        <v>0</v>
      </c>
      <c r="M17" s="93" t="s">
        <v>17</v>
      </c>
      <c r="N17" s="93" t="s">
        <v>1</v>
      </c>
      <c r="O17" s="93" t="s">
        <v>2</v>
      </c>
      <c r="P17" s="93" t="s">
        <v>3</v>
      </c>
      <c r="Q17" s="94" t="s">
        <v>16</v>
      </c>
      <c r="R17" s="108"/>
      <c r="S17" s="108"/>
      <c r="AB17" s="122"/>
      <c r="AC17" s="122"/>
      <c r="AD17" s="122"/>
      <c r="AE17" s="122"/>
      <c r="AF17" s="122"/>
    </row>
    <row r="18" spans="2:32" s="121" customFormat="1" ht="12" x14ac:dyDescent="0.2">
      <c r="B18" s="98">
        <v>1</v>
      </c>
      <c r="C18" s="98" t="s">
        <v>50</v>
      </c>
      <c r="D18" s="98">
        <v>944.33500000000004</v>
      </c>
      <c r="E18" s="98">
        <v>633.68399999999997</v>
      </c>
      <c r="F18" s="98"/>
      <c r="G18" s="98"/>
      <c r="H18" s="98">
        <v>1102.527</v>
      </c>
      <c r="I18" s="98">
        <v>634.47500000000002</v>
      </c>
      <c r="J18" s="99">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5.0002528572876863E-3</v>
      </c>
      <c r="K18" s="99"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18" s="102">
        <f>IF(PROFILE_DATA[[#This Row],[Segment Type]]="","",IFERROR(PROFILE_DATA[[#This Row],[PVT
'[STATION']]]-PROFILE_DATA[[#This Row],[PVC 
'[STATION']]],""))</f>
        <v>158.19200000000001</v>
      </c>
      <c r="M18" s="101" t="str">
        <f>IFERROR(ABS(PROFILE_DATA[[#This Row],[G2]]-PROFILE_DATA[[#This Row],[G1]]),"")</f>
        <v/>
      </c>
      <c r="N18" s="102" t="str">
        <f>IFERROR(((PROFILE_DATA[[#This Row],[A (difference)]]*PROFILE_DATA[[#This Row],[L]])/8),"")</f>
        <v/>
      </c>
      <c r="O18" s="102" t="str">
        <f>IFERROR(PROFILE_DATA[[#This Row],[L]]/PROFILE_DATA[[#This Row],[A (difference)]],"")</f>
        <v/>
      </c>
      <c r="P18" s="102" t="str">
        <f>IFERROR((PROFILE_DATA[[#This Row],[G2]]-PROFILE_DATA[[#This Row],[G1]])/(2*PROFILE_DATA[[#This Row],[L]]),"")</f>
        <v/>
      </c>
      <c r="Q18" s="99">
        <f>PROFILE_DATA[[#This Row],[G1]]</f>
        <v>5.0002528572876863E-3</v>
      </c>
      <c r="R18" s="108"/>
      <c r="S18" s="108"/>
      <c r="AB18" s="123"/>
      <c r="AC18" s="122"/>
      <c r="AD18" s="122"/>
      <c r="AE18" s="122"/>
      <c r="AF18" s="122"/>
    </row>
    <row r="19" spans="2:32" s="108" customFormat="1" ht="12" x14ac:dyDescent="0.2">
      <c r="B19" s="103">
        <v>2</v>
      </c>
      <c r="C19" s="103" t="s">
        <v>81</v>
      </c>
      <c r="D19" s="100">
        <f>IF(PROFILE_DATA[[#This Row],[Segment Type]]="","",H18)</f>
        <v>1102.527</v>
      </c>
      <c r="E19" s="100">
        <f>IF(PROFILE_DATA[[#This Row],[Segment Type]]="","",I18)</f>
        <v>634.47500000000002</v>
      </c>
      <c r="F19" s="103">
        <v>1152.527</v>
      </c>
      <c r="G19" s="103">
        <v>634.72500000000002</v>
      </c>
      <c r="H19" s="103">
        <v>1202.527</v>
      </c>
      <c r="I19" s="103">
        <v>632.72500000000002</v>
      </c>
      <c r="J19" s="104">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5.0000000000000001E-3</v>
      </c>
      <c r="K19" s="104">
        <f>IF(PROFILE_DATA[[#This Row],[Segment Type]]="Straight","",IF(OR(PROFILE_DATA[[#This Row],[PVI
'[STATION']]]="",PROFILE_DATA[[#This Row],[PVI
'[ELEVATION']]]="",PROFILE_DATA[[#This Row],[Segment Type]]=""),"",(PROFILE_DATA[[#This Row],[PVT
'[ELEVATION']]]-PROFILE_DATA[[#This Row],[PVI
'[ELEVATION']]])/(PROFILE_DATA[[#This Row],[PVT
'[STATION']]]-PROFILE_DATA[[#This Row],[PVI
'[STATION']]])))</f>
        <v>-0.04</v>
      </c>
      <c r="L19" s="100">
        <f>IF(PROFILE_DATA[[#This Row],[Segment Type]]="","",IFERROR(PROFILE_DATA[[#This Row],[PVT
'[STATION']]]-PROFILE_DATA[[#This Row],[PVC 
'[STATION']]],""))</f>
        <v>100</v>
      </c>
      <c r="M19" s="104">
        <f>IFERROR(ABS(PROFILE_DATA[[#This Row],[G2]]-PROFILE_DATA[[#This Row],[G1]]),"")</f>
        <v>4.4999999999999998E-2</v>
      </c>
      <c r="N19" s="100">
        <f>IFERROR(((PROFILE_DATA[[#This Row],[A (difference)]]*PROFILE_DATA[[#This Row],[L]])/8),"")</f>
        <v>0.5625</v>
      </c>
      <c r="O19" s="100">
        <f>IFERROR(PROFILE_DATA[[#This Row],[L]]/PROFILE_DATA[[#This Row],[A (difference)]],"")</f>
        <v>2222.2222222222222</v>
      </c>
      <c r="P19" s="100">
        <f>IFERROR((PROFILE_DATA[[#This Row],[G2]]-PROFILE_DATA[[#This Row],[G1]])/(2*PROFILE_DATA[[#This Row],[L]]),"")</f>
        <v>-2.2499999999999999E-4</v>
      </c>
      <c r="Q19" s="104">
        <f>PROFILE_DATA[[#This Row],[G1]]</f>
        <v>5.0000000000000001E-3</v>
      </c>
      <c r="AB19" s="124"/>
      <c r="AC19" s="122"/>
      <c r="AD19" s="122"/>
      <c r="AE19" s="122"/>
      <c r="AF19" s="122"/>
    </row>
    <row r="20" spans="2:32" s="108" customFormat="1" ht="12" x14ac:dyDescent="0.2">
      <c r="B20" s="103"/>
      <c r="C20" s="103"/>
      <c r="D20" s="100" t="str">
        <f>IF(PROFILE_DATA[[#This Row],[Segment Type]]="","",H19)</f>
        <v/>
      </c>
      <c r="E20" s="100" t="str">
        <f>IF(PROFILE_DATA[[#This Row],[Segment Type]]="","",I19)</f>
        <v/>
      </c>
      <c r="F20" s="103"/>
      <c r="G20" s="103"/>
      <c r="H20" s="103"/>
      <c r="I20" s="103"/>
      <c r="J20"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0"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0" s="100" t="str">
        <f>IF(PROFILE_DATA[[#This Row],[Segment Type]]="","",IFERROR(PROFILE_DATA[[#This Row],[PVT
'[STATION']]]-PROFILE_DATA[[#This Row],[PVC 
'[STATION']]],""))</f>
        <v/>
      </c>
      <c r="M20" s="104" t="str">
        <f>IFERROR(ABS(PROFILE_DATA[[#This Row],[G2]]-PROFILE_DATA[[#This Row],[G1]]),"")</f>
        <v/>
      </c>
      <c r="N20" s="100" t="str">
        <f>IFERROR(((PROFILE_DATA[[#This Row],[A (difference)]]*PROFILE_DATA[[#This Row],[L]])/8),"")</f>
        <v/>
      </c>
      <c r="O20" s="100" t="str">
        <f>IFERROR(PROFILE_DATA[[#This Row],[L]]/PROFILE_DATA[[#This Row],[A (difference)]],"")</f>
        <v/>
      </c>
      <c r="P20" s="100" t="str">
        <f>IFERROR((PROFILE_DATA[[#This Row],[G2]]-PROFILE_DATA[[#This Row],[G1]])/(2*PROFILE_DATA[[#This Row],[L]]),"")</f>
        <v/>
      </c>
      <c r="Q20" s="104" t="str">
        <f>PROFILE_DATA[[#This Row],[G1]]</f>
        <v/>
      </c>
      <c r="AB20" s="124"/>
      <c r="AC20" s="122"/>
      <c r="AD20" s="122"/>
      <c r="AE20" s="122"/>
      <c r="AF20" s="122"/>
    </row>
    <row r="21" spans="2:32" s="108" customFormat="1" ht="12" x14ac:dyDescent="0.2">
      <c r="B21" s="103"/>
      <c r="C21" s="103"/>
      <c r="D21" s="100" t="str">
        <f>IF(PROFILE_DATA[[#This Row],[Segment Type]]="","",H20)</f>
        <v/>
      </c>
      <c r="E21" s="100" t="str">
        <f>IF(PROFILE_DATA[[#This Row],[Segment Type]]="","",I20)</f>
        <v/>
      </c>
      <c r="F21" s="103"/>
      <c r="G21" s="103"/>
      <c r="H21" s="103"/>
      <c r="I21" s="103"/>
      <c r="J21"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1"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1" s="100" t="str">
        <f>IF(PROFILE_DATA[[#This Row],[Segment Type]]="","",IFERROR(PROFILE_DATA[[#This Row],[PVT
'[STATION']]]-PROFILE_DATA[[#This Row],[PVC 
'[STATION']]],""))</f>
        <v/>
      </c>
      <c r="M21" s="104" t="str">
        <f>IFERROR(ABS(PROFILE_DATA[[#This Row],[G2]]-PROFILE_DATA[[#This Row],[G1]]),"")</f>
        <v/>
      </c>
      <c r="N21" s="100" t="str">
        <f>IFERROR(((PROFILE_DATA[[#This Row],[A (difference)]]*PROFILE_DATA[[#This Row],[L]])/8),"")</f>
        <v/>
      </c>
      <c r="O21" s="100" t="str">
        <f>IFERROR(PROFILE_DATA[[#This Row],[L]]/PROFILE_DATA[[#This Row],[A (difference)]],"")</f>
        <v/>
      </c>
      <c r="P21" s="100" t="str">
        <f>IFERROR((PROFILE_DATA[[#This Row],[G2]]-PROFILE_DATA[[#This Row],[G1]])/(2*PROFILE_DATA[[#This Row],[L]]),"")</f>
        <v/>
      </c>
      <c r="Q21" s="104" t="str">
        <f>PROFILE_DATA[[#This Row],[G1]]</f>
        <v/>
      </c>
      <c r="AB21" s="124"/>
      <c r="AC21" s="122"/>
      <c r="AD21" s="122"/>
      <c r="AE21" s="122"/>
      <c r="AF21" s="122"/>
    </row>
    <row r="22" spans="2:32" s="108" customFormat="1" ht="12" x14ac:dyDescent="0.2">
      <c r="B22" s="103"/>
      <c r="C22" s="103"/>
      <c r="D22" s="100" t="str">
        <f>IF(PROFILE_DATA[[#This Row],[Segment Type]]="","",H21)</f>
        <v/>
      </c>
      <c r="E22" s="100" t="str">
        <f>IF(PROFILE_DATA[[#This Row],[Segment Type]]="","",I21)</f>
        <v/>
      </c>
      <c r="F22" s="103"/>
      <c r="G22" s="103"/>
      <c r="H22" s="103"/>
      <c r="I22" s="103"/>
      <c r="J22"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2"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2" s="100" t="str">
        <f>IF(PROFILE_DATA[[#This Row],[Segment Type]]="","",IFERROR(PROFILE_DATA[[#This Row],[PVT
'[STATION']]]-PROFILE_DATA[[#This Row],[PVC 
'[STATION']]],""))</f>
        <v/>
      </c>
      <c r="M22" s="104" t="str">
        <f>IFERROR(ABS(PROFILE_DATA[[#This Row],[G2]]-PROFILE_DATA[[#This Row],[G1]]),"")</f>
        <v/>
      </c>
      <c r="N22" s="100" t="str">
        <f>IFERROR(((PROFILE_DATA[[#This Row],[A (difference)]]*PROFILE_DATA[[#This Row],[L]])/8),"")</f>
        <v/>
      </c>
      <c r="O22" s="100" t="str">
        <f>IFERROR(PROFILE_DATA[[#This Row],[L]]/PROFILE_DATA[[#This Row],[A (difference)]],"")</f>
        <v/>
      </c>
      <c r="P22" s="100" t="str">
        <f>IFERROR((PROFILE_DATA[[#This Row],[G2]]-PROFILE_DATA[[#This Row],[G1]])/(2*PROFILE_DATA[[#This Row],[L]]),"")</f>
        <v/>
      </c>
      <c r="Q22" s="104" t="str">
        <f>PROFILE_DATA[[#This Row],[G1]]</f>
        <v/>
      </c>
      <c r="AB22" s="124"/>
      <c r="AC22" s="122"/>
      <c r="AD22" s="122"/>
      <c r="AE22" s="122"/>
      <c r="AF22" s="122"/>
    </row>
    <row r="23" spans="2:32" s="108" customFormat="1" ht="12" x14ac:dyDescent="0.2">
      <c r="B23" s="103"/>
      <c r="C23" s="103"/>
      <c r="D23" s="100" t="str">
        <f>IF(PROFILE_DATA[[#This Row],[Segment Type]]="","",H22)</f>
        <v/>
      </c>
      <c r="E23" s="100" t="str">
        <f>IF(PROFILE_DATA[[#This Row],[Segment Type]]="","",I22)</f>
        <v/>
      </c>
      <c r="F23" s="103"/>
      <c r="G23" s="103"/>
      <c r="H23" s="103"/>
      <c r="I23" s="103"/>
      <c r="J23"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3"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3" s="100" t="str">
        <f>IF(PROFILE_DATA[[#This Row],[Segment Type]]="","",IFERROR(PROFILE_DATA[[#This Row],[PVT
'[STATION']]]-PROFILE_DATA[[#This Row],[PVC 
'[STATION']]],""))</f>
        <v/>
      </c>
      <c r="M23" s="104" t="str">
        <f>IFERROR(ABS(PROFILE_DATA[[#This Row],[G2]]-PROFILE_DATA[[#This Row],[G1]]),"")</f>
        <v/>
      </c>
      <c r="N23" s="100" t="str">
        <f>IFERROR(((PROFILE_DATA[[#This Row],[A (difference)]]*PROFILE_DATA[[#This Row],[L]])/8),"")</f>
        <v/>
      </c>
      <c r="O23" s="100" t="str">
        <f>IFERROR(PROFILE_DATA[[#This Row],[L]]/PROFILE_DATA[[#This Row],[A (difference)]],"")</f>
        <v/>
      </c>
      <c r="P23" s="100" t="str">
        <f>IFERROR((PROFILE_DATA[[#This Row],[G2]]-PROFILE_DATA[[#This Row],[G1]])/(2*PROFILE_DATA[[#This Row],[L]]),"")</f>
        <v/>
      </c>
      <c r="Q23" s="104" t="str">
        <f>PROFILE_DATA[[#This Row],[G1]]</f>
        <v/>
      </c>
      <c r="AB23" s="124"/>
      <c r="AC23" s="122"/>
      <c r="AD23" s="122"/>
      <c r="AE23" s="122"/>
      <c r="AF23" s="122"/>
    </row>
    <row r="24" spans="2:32" s="108" customFormat="1" ht="12" x14ac:dyDescent="0.2">
      <c r="B24" s="103"/>
      <c r="C24" s="103"/>
      <c r="D24" s="100"/>
      <c r="E24" s="100"/>
      <c r="F24" s="103"/>
      <c r="G24" s="103"/>
      <c r="H24" s="103"/>
      <c r="I24" s="103"/>
      <c r="J24"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4"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4" s="100" t="str">
        <f>IF(PROFILE_DATA[[#This Row],[Segment Type]]="","",IFERROR(PROFILE_DATA[[#This Row],[PVT
'[STATION']]]-PROFILE_DATA[[#This Row],[PVC 
'[STATION']]],""))</f>
        <v/>
      </c>
      <c r="M24" s="104" t="str">
        <f>IFERROR(ABS(PROFILE_DATA[[#This Row],[G2]]-PROFILE_DATA[[#This Row],[G1]]),"")</f>
        <v/>
      </c>
      <c r="N24" s="100" t="str">
        <f>IFERROR(((PROFILE_DATA[[#This Row],[A (difference)]]*PROFILE_DATA[[#This Row],[L]])/8),"")</f>
        <v/>
      </c>
      <c r="O24" s="100" t="str">
        <f>IFERROR(PROFILE_DATA[[#This Row],[L]]/PROFILE_DATA[[#This Row],[A (difference)]],"")</f>
        <v/>
      </c>
      <c r="P24" s="100" t="str">
        <f>IFERROR((PROFILE_DATA[[#This Row],[G2]]-PROFILE_DATA[[#This Row],[G1]])/(2*PROFILE_DATA[[#This Row],[L]]),"")</f>
        <v/>
      </c>
      <c r="Q24" s="104" t="str">
        <f>PROFILE_DATA[[#This Row],[G1]]</f>
        <v/>
      </c>
      <c r="AB24" s="124"/>
      <c r="AC24" s="122"/>
      <c r="AD24" s="122"/>
      <c r="AE24" s="122"/>
      <c r="AF24" s="122"/>
    </row>
    <row r="25" spans="2:32" s="105" customFormat="1" ht="12" x14ac:dyDescent="0.2">
      <c r="C25" s="125"/>
      <c r="G25" s="106"/>
      <c r="T25" s="126"/>
      <c r="AB25" s="127"/>
      <c r="AC25" s="107"/>
      <c r="AD25" s="107"/>
      <c r="AE25" s="107"/>
      <c r="AF25" s="107"/>
    </row>
    <row r="26" spans="2:32" s="105" customFormat="1" ht="12" x14ac:dyDescent="0.2">
      <c r="C26" s="125"/>
      <c r="G26" s="106"/>
      <c r="T26" s="126"/>
      <c r="AB26" s="127"/>
      <c r="AC26" s="107"/>
      <c r="AD26" s="107"/>
      <c r="AE26" s="107"/>
      <c r="AF26" s="107"/>
    </row>
    <row r="27" spans="2:32" s="108" customFormat="1" ht="15" customHeight="1" x14ac:dyDescent="0.2">
      <c r="AB27" s="124"/>
      <c r="AC27" s="122"/>
      <c r="AD27" s="122"/>
      <c r="AE27" s="122"/>
      <c r="AF27" s="122"/>
    </row>
    <row r="28" spans="2:32" s="108" customFormat="1" x14ac:dyDescent="0.25">
      <c r="L28" s="109"/>
      <c r="M28" s="109"/>
      <c r="N28" s="109"/>
      <c r="O28" s="109"/>
      <c r="Z28" s="124"/>
      <c r="AA28" s="122"/>
      <c r="AB28" s="122"/>
      <c r="AC28" s="122"/>
      <c r="AD28" s="122"/>
    </row>
    <row r="29" spans="2:32" s="128" customFormat="1" x14ac:dyDescent="0.25">
      <c r="T29" s="108"/>
    </row>
    <row r="30" spans="2:32" x14ac:dyDescent="0.25">
      <c r="T30" s="108"/>
    </row>
    <row r="31" spans="2:32" x14ac:dyDescent="0.25">
      <c r="T31" s="108"/>
    </row>
    <row r="32" spans="2:32" x14ac:dyDescent="0.25">
      <c r="T32" s="108"/>
    </row>
    <row r="33" spans="1:105" x14ac:dyDescent="0.25">
      <c r="T33" s="108"/>
    </row>
    <row r="34" spans="1:105" x14ac:dyDescent="0.25">
      <c r="T34" s="108"/>
    </row>
    <row r="35" spans="1:105" x14ac:dyDescent="0.25">
      <c r="T35" s="108"/>
    </row>
    <row r="36" spans="1:105" x14ac:dyDescent="0.25">
      <c r="T36" s="108"/>
    </row>
    <row r="37" spans="1:105" x14ac:dyDescent="0.25">
      <c r="T37" s="108"/>
    </row>
    <row r="38" spans="1:105" x14ac:dyDescent="0.25">
      <c r="T38" s="108"/>
    </row>
    <row r="39" spans="1:105" x14ac:dyDescent="0.25">
      <c r="T39" s="108"/>
    </row>
    <row r="40" spans="1:105" x14ac:dyDescent="0.25">
      <c r="T40" s="108"/>
    </row>
    <row r="41" spans="1:105" x14ac:dyDescent="0.25">
      <c r="T41" s="108"/>
    </row>
    <row r="42" spans="1:105" x14ac:dyDescent="0.25">
      <c r="T42" s="108"/>
    </row>
    <row r="43" spans="1:105" x14ac:dyDescent="0.25">
      <c r="T43" s="108"/>
    </row>
    <row r="44" spans="1:105" s="59" customFormat="1" x14ac:dyDescent="0.25">
      <c r="A44" s="82"/>
      <c r="B44" s="82"/>
      <c r="C44" s="82"/>
      <c r="D44" s="82"/>
      <c r="E44" s="82"/>
      <c r="F44" s="82"/>
      <c r="G44" s="82"/>
      <c r="H44" s="82"/>
      <c r="I44" s="82"/>
      <c r="J44" s="82"/>
      <c r="K44" s="82"/>
      <c r="L44" s="82"/>
      <c r="M44" s="82"/>
      <c r="N44" s="82"/>
      <c r="O44" s="82"/>
      <c r="P44" s="82"/>
      <c r="Q44" s="82"/>
      <c r="R44" s="82"/>
      <c r="S44" s="82"/>
      <c r="T44" s="108"/>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CB44" s="82"/>
      <c r="CC44" s="82"/>
      <c r="CD44" s="82"/>
      <c r="CE44" s="82"/>
      <c r="CF44" s="82"/>
      <c r="CG44" s="82"/>
      <c r="CH44" s="82"/>
      <c r="CI44" s="82"/>
      <c r="CJ44" s="82"/>
      <c r="CK44" s="82"/>
      <c r="CL44" s="82"/>
      <c r="CM44" s="82"/>
      <c r="CN44" s="82"/>
      <c r="CO44" s="82"/>
      <c r="CP44" s="82"/>
      <c r="CQ44" s="82"/>
      <c r="CR44" s="82"/>
      <c r="CS44" s="82"/>
      <c r="CT44" s="82"/>
      <c r="CU44" s="82"/>
      <c r="CV44" s="82"/>
      <c r="CW44" s="82"/>
      <c r="CX44" s="82"/>
      <c r="CY44" s="82"/>
      <c r="CZ44" s="82"/>
      <c r="DA44" s="82"/>
    </row>
    <row r="45" spans="1:105" x14ac:dyDescent="0.25">
      <c r="T45" s="108"/>
    </row>
    <row r="46" spans="1:105" x14ac:dyDescent="0.25">
      <c r="T46" s="108"/>
    </row>
    <row r="47" spans="1:105" x14ac:dyDescent="0.25">
      <c r="T47" s="108"/>
    </row>
    <row r="48" spans="1:105" ht="18" customHeight="1" x14ac:dyDescent="0.25">
      <c r="T48" s="108"/>
    </row>
    <row r="49" spans="20:20" x14ac:dyDescent="0.25">
      <c r="T49" s="108"/>
    </row>
    <row r="50" spans="20:20" x14ac:dyDescent="0.25">
      <c r="T50" s="108"/>
    </row>
    <row r="51" spans="20:20" x14ac:dyDescent="0.25">
      <c r="T51" s="108"/>
    </row>
    <row r="52" spans="20:20" x14ac:dyDescent="0.25">
      <c r="T52" s="108"/>
    </row>
    <row r="53" spans="20:20" x14ac:dyDescent="0.25">
      <c r="T53" s="108"/>
    </row>
    <row r="91" ht="3.75" customHeight="1" x14ac:dyDescent="0.25"/>
    <row r="94" ht="6.75" customHeight="1" x14ac:dyDescent="0.25"/>
    <row r="113" ht="6" customHeight="1" x14ac:dyDescent="0.25"/>
    <row r="146" ht="12.75" customHeight="1" x14ac:dyDescent="0.25"/>
  </sheetData>
  <sheetProtection algorithmName="SHA-512" hashValue="4z1byGG0QyA1Ec6jPPhFKDv1dP/fYjs4if8D5XKETJcCJK2nG94OaWbMq9C8Zs7B6seaht/2vtHnty/alaQcTw==" saltValue="l1rpbmwYWJfFJzQTl7YLfw==" spinCount="100000" sheet="1" objects="1" scenarios="1"/>
  <mergeCells count="3">
    <mergeCell ref="C2:Q2"/>
    <mergeCell ref="B4:Q4"/>
    <mergeCell ref="B15:Q15"/>
  </mergeCells>
  <phoneticPr fontId="4" type="noConversion"/>
  <conditionalFormatting sqref="B19:C24 F19:I24">
    <cfRule type="expression" dxfId="15" priority="3">
      <formula>ISBLANK($B18)</formula>
    </cfRule>
  </conditionalFormatting>
  <dataValidations count="1">
    <dataValidation type="list" allowBlank="1" showInputMessage="1" showErrorMessage="1" sqref="C18:C24" xr:uid="{BBFA85DB-0570-4F0B-A779-D94F1373D745}">
      <formula1>"Vertical Curve, Straight"</formula1>
    </dataValidation>
  </dataValidations>
  <printOptions horizontalCentered="1"/>
  <pageMargins left="0.25" right="0.25" top="0.75" bottom="0.75" header="0.3" footer="0.3"/>
  <pageSetup paperSize="8" fitToHeight="0" orientation="landscape" r:id="rId1"/>
  <headerFooter>
    <oddFooter xml:space="preserve">&amp;L&amp;"Consolas,Regular"&amp;9&amp;K00-047Developed by Engr. Muhammad Bayoumi Ali | E-mail: muhammad.bayoumi.ali@gmail.com | LinkedIn: linkedin.com/in/muhammad-bayoumi-ali </oddFooter>
  </headerFooter>
  <rowBreaks count="4" manualBreakCount="4">
    <brk id="39" max="17" man="1"/>
    <brk id="88" max="17" man="1"/>
    <brk id="136" max="17" man="1"/>
    <brk id="207" max="17" man="1"/>
  </row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E80CA-E018-4F23-A933-60A979302ED2}">
  <sheetPr>
    <tabColor rgb="FF151B25"/>
  </sheetPr>
  <dimension ref="B2:M29"/>
  <sheetViews>
    <sheetView zoomScaleNormal="100" zoomScaleSheetLayoutView="106" workbookViewId="0"/>
  </sheetViews>
  <sheetFormatPr defaultRowHeight="15" x14ac:dyDescent="0.25"/>
  <cols>
    <col min="1" max="1" width="5.7109375" style="15" customWidth="1"/>
    <col min="2" max="2" width="5.5703125" style="15" customWidth="1"/>
    <col min="3" max="3" width="17.28515625" style="15" bestFit="1" customWidth="1"/>
    <col min="4" max="4" width="11.5703125" style="15" customWidth="1"/>
    <col min="5" max="5" width="13.5703125" style="15" customWidth="1"/>
    <col min="6" max="13" width="9.140625" style="15"/>
    <col min="14" max="14" width="8.85546875" style="15" customWidth="1"/>
    <col min="15" max="15" width="9.140625" style="15"/>
    <col min="16" max="16" width="17.28515625" style="15" customWidth="1"/>
    <col min="17" max="17" width="10.5703125" style="15" customWidth="1"/>
    <col min="18" max="16384" width="9.140625" style="15"/>
  </cols>
  <sheetData>
    <row r="2" spans="2:13" x14ac:dyDescent="0.25">
      <c r="B2" s="111" t="s">
        <v>34</v>
      </c>
      <c r="C2" s="298">
        <f ca="1">TODAY()</f>
        <v>45981</v>
      </c>
      <c r="D2" s="298"/>
      <c r="E2" s="298"/>
      <c r="F2" s="298"/>
      <c r="G2" s="298"/>
      <c r="H2" s="298"/>
      <c r="I2" s="298"/>
      <c r="J2" s="298"/>
      <c r="K2" s="298"/>
      <c r="L2" s="298"/>
      <c r="M2" s="298"/>
    </row>
    <row r="3" spans="2:13" ht="6.75" customHeight="1" x14ac:dyDescent="0.25"/>
    <row r="4" spans="2:13" ht="45.75" x14ac:dyDescent="0.65">
      <c r="B4" s="318" t="s">
        <v>33</v>
      </c>
      <c r="C4" s="318"/>
      <c r="D4" s="318"/>
      <c r="E4" s="318"/>
      <c r="F4" s="318"/>
      <c r="G4" s="318"/>
      <c r="H4" s="318"/>
      <c r="I4" s="318"/>
      <c r="J4" s="318"/>
      <c r="K4" s="318"/>
      <c r="L4" s="318"/>
      <c r="M4" s="318"/>
    </row>
    <row r="5" spans="2:13" ht="6" customHeight="1" x14ac:dyDescent="0.25"/>
    <row r="6" spans="2:13" ht="28.5" customHeight="1" x14ac:dyDescent="0.25">
      <c r="B6" s="303" t="s">
        <v>295</v>
      </c>
      <c r="C6" s="304"/>
      <c r="D6" s="247" t="s">
        <v>14</v>
      </c>
      <c r="E6" s="248" t="s">
        <v>281</v>
      </c>
      <c r="F6" s="309" t="s">
        <v>282</v>
      </c>
      <c r="G6" s="310"/>
      <c r="H6" s="310"/>
      <c r="I6" s="310"/>
      <c r="J6" s="310"/>
      <c r="K6" s="310"/>
      <c r="L6" s="310"/>
      <c r="M6" s="311"/>
    </row>
    <row r="7" spans="2:13" ht="15" customHeight="1" x14ac:dyDescent="0.25">
      <c r="B7" s="305"/>
      <c r="C7" s="306"/>
      <c r="D7" s="219"/>
      <c r="E7" s="220" t="str" cm="1">
        <f t="array" ref="E7">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7" s="312"/>
      <c r="G7" s="313"/>
      <c r="H7" s="313"/>
      <c r="I7" s="313"/>
      <c r="J7" s="313"/>
      <c r="K7" s="313"/>
      <c r="L7" s="313"/>
      <c r="M7" s="314"/>
    </row>
    <row r="8" spans="2:13" ht="15" customHeight="1" x14ac:dyDescent="0.25">
      <c r="B8" s="305"/>
      <c r="C8" s="306"/>
      <c r="D8" s="219"/>
      <c r="E8" s="220" t="str" cm="1">
        <f t="array" ref="E8">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8" s="312"/>
      <c r="G8" s="313"/>
      <c r="H8" s="313"/>
      <c r="I8" s="313"/>
      <c r="J8" s="313"/>
      <c r="K8" s="313"/>
      <c r="L8" s="313"/>
      <c r="M8" s="314"/>
    </row>
    <row r="9" spans="2:13" ht="15" customHeight="1" x14ac:dyDescent="0.25">
      <c r="B9" s="305"/>
      <c r="C9" s="306"/>
      <c r="D9" s="219"/>
      <c r="E9" s="220" t="str" cm="1">
        <f t="array" ref="E9">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9" s="312"/>
      <c r="G9" s="313"/>
      <c r="H9" s="313"/>
      <c r="I9" s="313"/>
      <c r="J9" s="313"/>
      <c r="K9" s="313"/>
      <c r="L9" s="313"/>
      <c r="M9" s="314"/>
    </row>
    <row r="10" spans="2:13" ht="15" customHeight="1" x14ac:dyDescent="0.25">
      <c r="B10" s="305"/>
      <c r="C10" s="306"/>
      <c r="D10" s="219"/>
      <c r="E10" s="220" t="str" cm="1">
        <f t="array" ref="E10">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0" s="312"/>
      <c r="G10" s="313"/>
      <c r="H10" s="313"/>
      <c r="I10" s="313"/>
      <c r="J10" s="313"/>
      <c r="K10" s="313"/>
      <c r="L10" s="313"/>
      <c r="M10" s="314"/>
    </row>
    <row r="11" spans="2:13" ht="15" customHeight="1" x14ac:dyDescent="0.25">
      <c r="B11" s="305"/>
      <c r="C11" s="306"/>
      <c r="D11" s="219"/>
      <c r="E11" s="220" t="str" cm="1">
        <f t="array" ref="E11">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1" s="312"/>
      <c r="G11" s="313"/>
      <c r="H11" s="313"/>
      <c r="I11" s="313"/>
      <c r="J11" s="313"/>
      <c r="K11" s="313"/>
      <c r="L11" s="313"/>
      <c r="M11" s="314"/>
    </row>
    <row r="12" spans="2:13" ht="15" customHeight="1" x14ac:dyDescent="0.25">
      <c r="B12" s="305"/>
      <c r="C12" s="306"/>
      <c r="D12" s="219"/>
      <c r="E12" s="220" t="str" cm="1">
        <f t="array" ref="E12">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2" s="312"/>
      <c r="G12" s="313"/>
      <c r="H12" s="313"/>
      <c r="I12" s="313"/>
      <c r="J12" s="313"/>
      <c r="K12" s="313"/>
      <c r="L12" s="313"/>
      <c r="M12" s="314"/>
    </row>
    <row r="13" spans="2:13" ht="15" customHeight="1" x14ac:dyDescent="0.25">
      <c r="B13" s="305"/>
      <c r="C13" s="306"/>
      <c r="D13" s="219"/>
      <c r="E13" s="220" t="str" cm="1">
        <f t="array" ref="E13">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3" s="312"/>
      <c r="G13" s="313"/>
      <c r="H13" s="313"/>
      <c r="I13" s="313"/>
      <c r="J13" s="313"/>
      <c r="K13" s="313"/>
      <c r="L13" s="313"/>
      <c r="M13" s="314"/>
    </row>
    <row r="14" spans="2:13" ht="15" customHeight="1" x14ac:dyDescent="0.25">
      <c r="B14" s="305"/>
      <c r="C14" s="306"/>
      <c r="D14" s="219"/>
      <c r="E14" s="220" t="str" cm="1">
        <f t="array" ref="E14">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4" s="312"/>
      <c r="G14" s="313"/>
      <c r="H14" s="313"/>
      <c r="I14" s="313"/>
      <c r="J14" s="313"/>
      <c r="K14" s="313"/>
      <c r="L14" s="313"/>
      <c r="M14" s="314"/>
    </row>
    <row r="15" spans="2:13" ht="15" customHeight="1" x14ac:dyDescent="0.25">
      <c r="B15" s="305"/>
      <c r="C15" s="306"/>
      <c r="D15" s="219"/>
      <c r="E15" s="220" t="str" cm="1">
        <f t="array" ref="E15">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5" s="312"/>
      <c r="G15" s="313"/>
      <c r="H15" s="313"/>
      <c r="I15" s="313"/>
      <c r="J15" s="313"/>
      <c r="K15" s="313"/>
      <c r="L15" s="313"/>
      <c r="M15" s="314"/>
    </row>
    <row r="16" spans="2:13" ht="15" customHeight="1" x14ac:dyDescent="0.25">
      <c r="B16" s="305"/>
      <c r="C16" s="306"/>
      <c r="D16" s="219"/>
      <c r="E16" s="220" t="str" cm="1">
        <f t="array" ref="E16">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6" s="312"/>
      <c r="G16" s="313"/>
      <c r="H16" s="313"/>
      <c r="I16" s="313"/>
      <c r="J16" s="313"/>
      <c r="K16" s="313"/>
      <c r="L16" s="313"/>
      <c r="M16" s="314"/>
    </row>
    <row r="17" spans="2:13" ht="15" customHeight="1" x14ac:dyDescent="0.25">
      <c r="B17" s="305"/>
      <c r="C17" s="306"/>
      <c r="D17" s="219"/>
      <c r="E17" s="220" t="str" cm="1">
        <f t="array" ref="E17">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7" s="312"/>
      <c r="G17" s="313"/>
      <c r="H17" s="313"/>
      <c r="I17" s="313"/>
      <c r="J17" s="313"/>
      <c r="K17" s="313"/>
      <c r="L17" s="313"/>
      <c r="M17" s="314"/>
    </row>
    <row r="18" spans="2:13" ht="15" customHeight="1" x14ac:dyDescent="0.25">
      <c r="B18" s="305"/>
      <c r="C18" s="306"/>
      <c r="D18" s="219"/>
      <c r="E18" s="220" t="str" cm="1">
        <f t="array" ref="E18">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8" s="312"/>
      <c r="G18" s="313"/>
      <c r="H18" s="313"/>
      <c r="I18" s="313"/>
      <c r="J18" s="313"/>
      <c r="K18" s="313"/>
      <c r="L18" s="313"/>
      <c r="M18" s="314"/>
    </row>
    <row r="19" spans="2:13" ht="15" customHeight="1" x14ac:dyDescent="0.25">
      <c r="B19" s="305"/>
      <c r="C19" s="306"/>
      <c r="D19" s="219"/>
      <c r="E19" s="220" t="str" cm="1">
        <f t="array" ref="E19">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9" s="312"/>
      <c r="G19" s="313"/>
      <c r="H19" s="313"/>
      <c r="I19" s="313"/>
      <c r="J19" s="313"/>
      <c r="K19" s="313"/>
      <c r="L19" s="313"/>
      <c r="M19" s="314"/>
    </row>
    <row r="20" spans="2:13" ht="15" customHeight="1" x14ac:dyDescent="0.25">
      <c r="B20" s="305"/>
      <c r="C20" s="306"/>
      <c r="D20" s="219"/>
      <c r="E20" s="220" t="str" cm="1">
        <f t="array" ref="E20">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0" s="312"/>
      <c r="G20" s="313"/>
      <c r="H20" s="313"/>
      <c r="I20" s="313"/>
      <c r="J20" s="313"/>
      <c r="K20" s="313"/>
      <c r="L20" s="313"/>
      <c r="M20" s="314"/>
    </row>
    <row r="21" spans="2:13" ht="15" customHeight="1" x14ac:dyDescent="0.25">
      <c r="B21" s="305"/>
      <c r="C21" s="306"/>
      <c r="D21" s="219"/>
      <c r="E21" s="220" t="str" cm="1">
        <f t="array" ref="E21">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1" s="312"/>
      <c r="G21" s="313"/>
      <c r="H21" s="313"/>
      <c r="I21" s="313"/>
      <c r="J21" s="313"/>
      <c r="K21" s="313"/>
      <c r="L21" s="313"/>
      <c r="M21" s="314"/>
    </row>
    <row r="22" spans="2:13" ht="15" customHeight="1" x14ac:dyDescent="0.25">
      <c r="B22" s="305"/>
      <c r="C22" s="306"/>
      <c r="D22" s="219"/>
      <c r="E22" s="220" t="str" cm="1">
        <f t="array" ref="E22">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2" s="312"/>
      <c r="G22" s="313"/>
      <c r="H22" s="313"/>
      <c r="I22" s="313"/>
      <c r="J22" s="313"/>
      <c r="K22" s="313"/>
      <c r="L22" s="313"/>
      <c r="M22" s="314"/>
    </row>
    <row r="23" spans="2:13" ht="15" customHeight="1" x14ac:dyDescent="0.25">
      <c r="B23" s="305"/>
      <c r="C23" s="306"/>
      <c r="D23" s="219"/>
      <c r="E23" s="220" t="str" cm="1">
        <f t="array" ref="E23">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3" s="312"/>
      <c r="G23" s="313"/>
      <c r="H23" s="313"/>
      <c r="I23" s="313"/>
      <c r="J23" s="313"/>
      <c r="K23" s="313"/>
      <c r="L23" s="313"/>
      <c r="M23" s="314"/>
    </row>
    <row r="24" spans="2:13" ht="15" customHeight="1" x14ac:dyDescent="0.25">
      <c r="B24" s="305"/>
      <c r="C24" s="306"/>
      <c r="D24" s="219"/>
      <c r="E24" s="220" t="str" cm="1">
        <f t="array" ref="E24">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4" s="312"/>
      <c r="G24" s="313"/>
      <c r="H24" s="313"/>
      <c r="I24" s="313"/>
      <c r="J24" s="313"/>
      <c r="K24" s="313"/>
      <c r="L24" s="313"/>
      <c r="M24" s="314"/>
    </row>
    <row r="25" spans="2:13" ht="15" customHeight="1" x14ac:dyDescent="0.25">
      <c r="B25" s="305"/>
      <c r="C25" s="306"/>
      <c r="D25" s="219"/>
      <c r="E25" s="220" t="str" cm="1">
        <f t="array" ref="E25">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5" s="312"/>
      <c r="G25" s="313"/>
      <c r="H25" s="313"/>
      <c r="I25" s="313"/>
      <c r="J25" s="313"/>
      <c r="K25" s="313"/>
      <c r="L25" s="313"/>
      <c r="M25" s="314"/>
    </row>
    <row r="26" spans="2:13" x14ac:dyDescent="0.25">
      <c r="B26" s="305"/>
      <c r="C26" s="306"/>
      <c r="D26" s="219"/>
      <c r="E26" s="220" t="str" cm="1">
        <f t="array" ref="E26">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6" s="312"/>
      <c r="G26" s="313"/>
      <c r="H26" s="313"/>
      <c r="I26" s="313"/>
      <c r="J26" s="313"/>
      <c r="K26" s="313"/>
      <c r="L26" s="313"/>
      <c r="M26" s="314"/>
    </row>
    <row r="27" spans="2:13" x14ac:dyDescent="0.25">
      <c r="B27" s="307"/>
      <c r="C27" s="308"/>
      <c r="D27" s="219"/>
      <c r="E27" s="220" t="str" cm="1">
        <f t="array" ref="E27">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7" s="315"/>
      <c r="G27" s="316"/>
      <c r="H27" s="316"/>
      <c r="I27" s="316"/>
      <c r="J27" s="316"/>
      <c r="K27" s="316"/>
      <c r="L27" s="316"/>
      <c r="M27" s="317"/>
    </row>
    <row r="29" spans="2:13" x14ac:dyDescent="0.25">
      <c r="B29" s="221" t="s">
        <v>282</v>
      </c>
    </row>
  </sheetData>
  <sheetProtection algorithmName="SHA-512" hashValue="qPgFPIZa80lYMtC8GQiMbHZd9nW3y432aC1Gfa9KDSSNbkuz5LEd4yMeH5yzO6tZso/YIDVbExZmYOMWmaeiPg==" saltValue="z92jNQ47s5gaTWB3jju9QA==" spinCount="100000" sheet="1" objects="1" scenarios="1"/>
  <mergeCells count="4">
    <mergeCell ref="B6:C27"/>
    <mergeCell ref="F6:M27"/>
    <mergeCell ref="B4:M4"/>
    <mergeCell ref="C2:M2"/>
  </mergeCells>
  <pageMargins left="0.25" right="0.25" top="0.75" bottom="0.75" header="0.3" footer="0.3"/>
  <pageSetup paperSize="9"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F8E56-B47E-43B3-A1D7-A8EF7600AAF7}">
  <sheetPr codeName="Sheet3">
    <tabColor theme="9"/>
    <pageSetUpPr fitToPage="1"/>
  </sheetPr>
  <dimension ref="A1:DY104"/>
  <sheetViews>
    <sheetView zoomScaleNormal="100" zoomScaleSheetLayoutView="100" workbookViewId="0"/>
  </sheetViews>
  <sheetFormatPr defaultColWidth="12.7109375" defaultRowHeight="15" x14ac:dyDescent="0.25"/>
  <cols>
    <col min="1" max="1" width="7.7109375" style="110" customWidth="1"/>
    <col min="2" max="7" width="20.7109375" style="110" customWidth="1"/>
    <col min="8" max="8" width="7.7109375" style="110" customWidth="1"/>
    <col min="9" max="9" width="17.140625" style="110" customWidth="1"/>
    <col min="10" max="10" width="30" style="110" customWidth="1"/>
    <col min="11" max="11" width="17.140625" style="110" customWidth="1"/>
    <col min="12" max="12" width="11" style="110" customWidth="1"/>
    <col min="13" max="13" width="10.42578125" style="110" customWidth="1"/>
    <col min="14" max="14" width="11" style="110" customWidth="1"/>
    <col min="15" max="15" width="11.5703125" style="110" customWidth="1"/>
    <col min="16" max="16" width="2.140625" style="110" customWidth="1"/>
    <col min="17" max="17" width="3.140625" style="110" customWidth="1"/>
    <col min="18" max="20" width="12.7109375" style="110"/>
    <col min="21" max="21" width="17.7109375" style="110" bestFit="1" customWidth="1"/>
    <col min="22" max="22" width="18.28515625" style="110" bestFit="1" customWidth="1"/>
    <col min="23" max="23" width="10.85546875" style="110" bestFit="1" customWidth="1"/>
    <col min="24" max="24" width="10.7109375" style="110" bestFit="1" customWidth="1"/>
    <col min="25" max="25" width="12.85546875" style="110" bestFit="1" customWidth="1"/>
    <col min="26" max="26" width="16.28515625" style="110" bestFit="1" customWidth="1"/>
    <col min="27" max="27" width="13.42578125" style="110" bestFit="1" customWidth="1"/>
    <col min="28" max="28" width="10.5703125" style="110" customWidth="1"/>
    <col min="29" max="16384" width="12.7109375" style="110"/>
  </cols>
  <sheetData>
    <row r="1" spans="1:17" ht="8.25" customHeight="1" x14ac:dyDescent="0.25">
      <c r="A1" s="108"/>
      <c r="B1" s="108"/>
      <c r="C1" s="108"/>
      <c r="D1" s="109"/>
      <c r="E1" s="108"/>
      <c r="F1" s="108"/>
      <c r="G1" s="108"/>
      <c r="H1" s="108"/>
      <c r="I1" s="108"/>
      <c r="J1" s="108"/>
      <c r="K1" s="108"/>
      <c r="L1" s="108"/>
      <c r="M1" s="108"/>
      <c r="N1" s="108"/>
      <c r="O1" s="108"/>
      <c r="P1" s="108"/>
      <c r="Q1" s="108"/>
    </row>
    <row r="2" spans="1:17" x14ac:dyDescent="0.25">
      <c r="A2" s="108"/>
      <c r="B2" s="111" t="s">
        <v>34</v>
      </c>
      <c r="C2" s="112">
        <f ca="1">TODAY()</f>
        <v>45981</v>
      </c>
      <c r="D2" s="108"/>
      <c r="H2" s="108"/>
      <c r="I2" s="108"/>
      <c r="J2" s="108"/>
      <c r="K2" s="108"/>
      <c r="L2" s="108"/>
      <c r="M2" s="108"/>
      <c r="N2" s="108"/>
      <c r="O2" s="108"/>
      <c r="P2" s="108"/>
      <c r="Q2" s="108"/>
    </row>
    <row r="3" spans="1:17" ht="8.25" customHeight="1" x14ac:dyDescent="0.25">
      <c r="A3" s="108"/>
      <c r="B3" s="108"/>
      <c r="C3" s="108"/>
      <c r="D3" s="109"/>
      <c r="E3" s="108"/>
      <c r="F3" s="108"/>
      <c r="G3" s="108"/>
      <c r="H3" s="108"/>
      <c r="I3" s="108"/>
      <c r="J3" s="108"/>
      <c r="K3" s="108"/>
      <c r="L3" s="108"/>
      <c r="M3" s="108"/>
      <c r="N3" s="108"/>
      <c r="O3" s="108"/>
      <c r="P3" s="108"/>
      <c r="Q3" s="108"/>
    </row>
    <row r="4" spans="1:17" ht="47.1" customHeight="1" x14ac:dyDescent="0.25">
      <c r="A4" s="108"/>
      <c r="B4" s="321" t="s">
        <v>175</v>
      </c>
      <c r="C4" s="322"/>
      <c r="D4" s="322"/>
      <c r="E4" s="322"/>
      <c r="F4" s="322"/>
      <c r="G4" s="323"/>
      <c r="H4" s="108"/>
      <c r="I4" s="108"/>
      <c r="J4" s="108"/>
      <c r="K4" s="108"/>
      <c r="L4" s="108"/>
      <c r="M4" s="108"/>
      <c r="N4" s="108"/>
      <c r="O4" s="108"/>
      <c r="P4" s="108"/>
      <c r="Q4" s="108"/>
    </row>
    <row r="5" spans="1:17" s="109" customFormat="1" ht="6.75" customHeight="1" x14ac:dyDescent="0.25">
      <c r="A5" s="108"/>
      <c r="B5" s="113"/>
      <c r="C5" s="113"/>
      <c r="D5" s="113"/>
      <c r="E5" s="113"/>
      <c r="F5" s="113"/>
      <c r="G5" s="113"/>
      <c r="H5" s="113"/>
      <c r="I5" s="113"/>
      <c r="J5" s="113"/>
      <c r="K5" s="113"/>
      <c r="L5" s="113"/>
      <c r="M5" s="113"/>
      <c r="N5" s="113"/>
      <c r="O5" s="113"/>
      <c r="P5" s="108"/>
      <c r="Q5" s="108"/>
    </row>
    <row r="6" spans="1:17" s="109" customFormat="1" ht="15" customHeight="1" x14ac:dyDescent="0.25">
      <c r="A6" s="114"/>
      <c r="B6" s="319" t="s">
        <v>30</v>
      </c>
      <c r="C6" s="320"/>
      <c r="D6" s="320"/>
      <c r="E6" s="320"/>
      <c r="F6" s="320"/>
      <c r="G6" s="320"/>
      <c r="H6" s="115"/>
      <c r="I6" s="115"/>
      <c r="J6" s="115"/>
      <c r="K6" s="115"/>
      <c r="L6" s="115"/>
      <c r="M6" s="115"/>
      <c r="N6" s="116"/>
      <c r="O6" s="114"/>
      <c r="P6" s="108"/>
      <c r="Q6" s="114"/>
    </row>
    <row r="7" spans="1:17" ht="6" customHeight="1" x14ac:dyDescent="0.25">
      <c r="A7" s="108"/>
      <c r="B7" s="108"/>
      <c r="C7" s="108"/>
      <c r="D7" s="109"/>
      <c r="E7" s="108"/>
      <c r="F7" s="108"/>
      <c r="G7" s="108"/>
      <c r="H7" s="109"/>
      <c r="I7" s="109"/>
      <c r="J7" s="109"/>
      <c r="K7" s="109"/>
      <c r="L7" s="109"/>
      <c r="M7" s="109"/>
      <c r="N7" s="109"/>
      <c r="O7" s="109"/>
      <c r="P7" s="108"/>
      <c r="Q7" s="108"/>
    </row>
    <row r="8" spans="1:17" ht="36" x14ac:dyDescent="0.25">
      <c r="A8" s="108"/>
      <c r="B8" s="87" t="s">
        <v>57</v>
      </c>
      <c r="C8" s="87" t="s">
        <v>32</v>
      </c>
      <c r="D8" s="87" t="s">
        <v>63</v>
      </c>
      <c r="E8" s="87" t="s">
        <v>29</v>
      </c>
      <c r="F8" s="87" t="s">
        <v>64</v>
      </c>
      <c r="G8" s="87" t="s">
        <v>65</v>
      </c>
      <c r="H8" s="109"/>
      <c r="I8" s="109"/>
      <c r="J8" s="109"/>
      <c r="K8" s="109"/>
      <c r="L8" s="109"/>
      <c r="M8" s="109"/>
      <c r="N8" s="109"/>
      <c r="O8" s="109"/>
      <c r="P8" s="108"/>
      <c r="Q8" s="108"/>
    </row>
    <row r="9" spans="1:17" x14ac:dyDescent="0.25">
      <c r="A9" s="108"/>
      <c r="B9" s="117" t="s">
        <v>130</v>
      </c>
      <c r="C9" s="118">
        <v>3.25</v>
      </c>
      <c r="D9" s="119">
        <v>5.6000000000000001E-2</v>
      </c>
      <c r="E9" s="118">
        <v>0.06</v>
      </c>
      <c r="F9" s="118">
        <v>1.5</v>
      </c>
      <c r="G9" s="118">
        <v>0.4</v>
      </c>
      <c r="H9" s="109"/>
      <c r="I9" s="109"/>
      <c r="J9" s="109"/>
      <c r="K9" s="109"/>
      <c r="L9" s="109"/>
      <c r="M9" s="109"/>
      <c r="N9" s="109"/>
      <c r="O9" s="109"/>
      <c r="P9" s="108"/>
      <c r="Q9" s="108"/>
    </row>
    <row r="10" spans="1:17" x14ac:dyDescent="0.25">
      <c r="A10" s="108"/>
      <c r="B10" s="117" t="s">
        <v>129</v>
      </c>
      <c r="C10" s="118">
        <v>3.25</v>
      </c>
      <c r="D10" s="119">
        <v>5.6000000000000001E-2</v>
      </c>
      <c r="E10" s="118">
        <v>0.06</v>
      </c>
      <c r="F10" s="118">
        <v>1.5</v>
      </c>
      <c r="G10" s="118">
        <v>0</v>
      </c>
      <c r="H10" s="109"/>
      <c r="I10" s="109"/>
      <c r="J10" s="109"/>
      <c r="K10" s="109"/>
      <c r="L10" s="109"/>
      <c r="M10" s="109"/>
      <c r="N10" s="109"/>
      <c r="O10" s="109"/>
      <c r="P10" s="108"/>
      <c r="Q10" s="108"/>
    </row>
    <row r="11" spans="1:17" x14ac:dyDescent="0.25">
      <c r="A11" s="108"/>
      <c r="B11" s="117" t="s">
        <v>128</v>
      </c>
      <c r="C11" s="118">
        <v>3.25</v>
      </c>
      <c r="D11" s="119">
        <v>5.6000000000000001E-2</v>
      </c>
      <c r="E11" s="118">
        <v>0.06</v>
      </c>
      <c r="F11" s="118">
        <v>1.5</v>
      </c>
      <c r="G11" s="118">
        <v>0.4</v>
      </c>
      <c r="H11" s="109"/>
      <c r="I11" s="109"/>
      <c r="J11" s="109"/>
      <c r="K11" s="109"/>
      <c r="L11" s="109"/>
      <c r="M11" s="109"/>
      <c r="N11" s="109"/>
      <c r="O11" s="109"/>
      <c r="P11" s="108"/>
      <c r="Q11" s="108"/>
    </row>
    <row r="12" spans="1:17" x14ac:dyDescent="0.25">
      <c r="A12" s="108"/>
      <c r="B12" s="117" t="s">
        <v>183</v>
      </c>
      <c r="C12" s="118">
        <v>3.25</v>
      </c>
      <c r="D12" s="119">
        <v>5.6000000000000001E-2</v>
      </c>
      <c r="E12" s="118">
        <v>0.06</v>
      </c>
      <c r="F12" s="118">
        <v>1.5</v>
      </c>
      <c r="G12" s="118">
        <v>0</v>
      </c>
      <c r="H12" s="109"/>
      <c r="I12" s="109"/>
      <c r="J12" s="109"/>
      <c r="K12" s="109"/>
      <c r="L12" s="109"/>
      <c r="M12" s="109"/>
      <c r="N12" s="109"/>
      <c r="O12" s="109"/>
      <c r="P12" s="108"/>
      <c r="Q12" s="108"/>
    </row>
    <row r="13" spans="1:17" x14ac:dyDescent="0.25">
      <c r="A13" s="108"/>
      <c r="B13" s="117"/>
      <c r="C13" s="118"/>
      <c r="D13" s="120"/>
      <c r="E13" s="118"/>
      <c r="F13" s="118"/>
      <c r="G13" s="118"/>
      <c r="H13" s="109"/>
      <c r="I13" s="109"/>
      <c r="J13" s="109"/>
      <c r="K13" s="109"/>
      <c r="L13" s="109"/>
      <c r="M13" s="109"/>
      <c r="N13" s="109"/>
      <c r="O13" s="109"/>
      <c r="P13" s="108"/>
      <c r="Q13" s="108"/>
    </row>
    <row r="14" spans="1:17" x14ac:dyDescent="0.25">
      <c r="A14" s="108"/>
      <c r="B14" s="117"/>
      <c r="C14" s="118"/>
      <c r="D14" s="120"/>
      <c r="E14" s="118"/>
      <c r="F14" s="118"/>
      <c r="G14" s="118"/>
      <c r="H14" s="109"/>
      <c r="I14" s="109"/>
      <c r="J14" s="109"/>
      <c r="K14" s="109"/>
      <c r="L14" s="109"/>
      <c r="M14" s="109"/>
      <c r="N14" s="109"/>
      <c r="O14" s="109"/>
      <c r="P14" s="108"/>
      <c r="Q14" s="108"/>
    </row>
    <row r="15" spans="1:17" x14ac:dyDescent="0.25">
      <c r="A15" s="108"/>
      <c r="B15" s="117"/>
      <c r="C15" s="118"/>
      <c r="D15" s="120"/>
      <c r="E15" s="118"/>
      <c r="F15" s="118"/>
      <c r="G15" s="118"/>
      <c r="H15" s="108"/>
      <c r="I15" s="108"/>
      <c r="J15" s="108"/>
      <c r="K15" s="108"/>
      <c r="L15" s="108"/>
      <c r="M15" s="108"/>
      <c r="N15" s="109"/>
      <c r="O15" s="108"/>
      <c r="P15" s="108"/>
      <c r="Q15" s="108"/>
    </row>
    <row r="16" spans="1:17" x14ac:dyDescent="0.25">
      <c r="A16" s="108"/>
      <c r="B16" s="117"/>
      <c r="C16" s="118"/>
      <c r="D16" s="120"/>
      <c r="E16" s="118"/>
      <c r="F16" s="118"/>
      <c r="G16" s="118"/>
      <c r="H16" s="108"/>
      <c r="I16" s="108"/>
      <c r="J16" s="108"/>
      <c r="K16" s="108"/>
      <c r="L16" s="108"/>
      <c r="M16" s="108"/>
      <c r="N16" s="109"/>
      <c r="O16" s="108"/>
      <c r="P16" s="108"/>
      <c r="Q16" s="108"/>
    </row>
    <row r="17" spans="1:17" x14ac:dyDescent="0.25">
      <c r="A17" s="108"/>
      <c r="B17" s="117"/>
      <c r="C17" s="118"/>
      <c r="D17" s="120"/>
      <c r="E17" s="118"/>
      <c r="F17" s="118"/>
      <c r="G17" s="118"/>
      <c r="H17" s="108"/>
      <c r="I17" s="108"/>
      <c r="J17" s="108"/>
      <c r="K17" s="108"/>
      <c r="L17" s="108"/>
      <c r="M17" s="108"/>
      <c r="N17" s="109"/>
      <c r="O17" s="108"/>
      <c r="P17" s="108"/>
      <c r="Q17" s="108"/>
    </row>
    <row r="18" spans="1:17" x14ac:dyDescent="0.25">
      <c r="A18" s="108"/>
      <c r="B18" s="117"/>
      <c r="C18" s="118"/>
      <c r="D18" s="120"/>
      <c r="E18" s="118"/>
      <c r="F18" s="118"/>
      <c r="G18" s="118"/>
      <c r="H18" s="108"/>
      <c r="I18" s="108"/>
      <c r="J18" s="108"/>
      <c r="K18" s="108"/>
      <c r="L18" s="108"/>
      <c r="M18" s="108"/>
      <c r="N18" s="109"/>
      <c r="O18" s="108"/>
      <c r="P18" s="108"/>
      <c r="Q18" s="108"/>
    </row>
    <row r="19" spans="1:17" x14ac:dyDescent="0.25">
      <c r="A19" s="108"/>
      <c r="B19" s="117"/>
      <c r="C19" s="118"/>
      <c r="D19" s="120"/>
      <c r="E19" s="118"/>
      <c r="F19" s="118"/>
      <c r="G19" s="118"/>
      <c r="H19" s="108"/>
      <c r="I19" s="108"/>
      <c r="J19" s="108"/>
      <c r="K19" s="108"/>
      <c r="L19" s="108"/>
      <c r="M19" s="108"/>
      <c r="N19" s="109"/>
      <c r="O19" s="108"/>
      <c r="P19" s="108"/>
      <c r="Q19" s="108"/>
    </row>
    <row r="20" spans="1:17" x14ac:dyDescent="0.25">
      <c r="A20" s="108"/>
      <c r="B20" s="117"/>
      <c r="C20" s="118"/>
      <c r="D20" s="120"/>
      <c r="E20" s="118"/>
      <c r="F20" s="118"/>
      <c r="G20" s="118"/>
      <c r="H20" s="108"/>
      <c r="I20" s="108"/>
      <c r="J20" s="108"/>
      <c r="K20" s="108"/>
      <c r="L20" s="108"/>
      <c r="M20" s="108"/>
      <c r="N20" s="109"/>
      <c r="O20" s="108"/>
      <c r="P20" s="108"/>
      <c r="Q20" s="108"/>
    </row>
    <row r="21" spans="1:17" x14ac:dyDescent="0.25">
      <c r="A21" s="108"/>
      <c r="B21" s="117"/>
      <c r="C21" s="118"/>
      <c r="D21" s="120"/>
      <c r="E21" s="118"/>
      <c r="F21" s="118"/>
      <c r="G21" s="118"/>
      <c r="H21" s="108"/>
      <c r="I21" s="108"/>
      <c r="J21" s="108"/>
      <c r="K21" s="108"/>
      <c r="L21" s="108"/>
      <c r="M21" s="108"/>
      <c r="N21" s="109"/>
      <c r="O21" s="108"/>
      <c r="P21" s="108"/>
      <c r="Q21" s="108"/>
    </row>
    <row r="22" spans="1:17" x14ac:dyDescent="0.25">
      <c r="A22" s="108"/>
      <c r="B22" s="117"/>
      <c r="C22" s="118"/>
      <c r="D22" s="120"/>
      <c r="E22" s="118"/>
      <c r="F22" s="118"/>
      <c r="G22" s="118"/>
      <c r="H22" s="108"/>
      <c r="I22" s="108"/>
      <c r="J22" s="108"/>
      <c r="K22" s="108"/>
      <c r="L22" s="108"/>
      <c r="M22" s="108"/>
      <c r="N22" s="109"/>
      <c r="O22" s="108"/>
      <c r="P22" s="108"/>
      <c r="Q22" s="108"/>
    </row>
    <row r="23" spans="1:17" x14ac:dyDescent="0.25">
      <c r="A23" s="108"/>
      <c r="B23" s="117"/>
      <c r="C23" s="118"/>
      <c r="D23" s="120"/>
      <c r="E23" s="118"/>
      <c r="F23" s="118"/>
      <c r="G23" s="118"/>
      <c r="H23" s="108"/>
      <c r="I23" s="108"/>
      <c r="J23" s="108"/>
      <c r="K23" s="108"/>
      <c r="L23" s="108"/>
      <c r="M23" s="108"/>
      <c r="N23" s="109"/>
      <c r="O23" s="108"/>
      <c r="P23" s="108"/>
      <c r="Q23" s="108"/>
    </row>
    <row r="24" spans="1:17" x14ac:dyDescent="0.25">
      <c r="A24" s="114"/>
      <c r="B24" s="117"/>
      <c r="C24" s="118"/>
      <c r="D24" s="120"/>
      <c r="E24" s="118"/>
      <c r="F24" s="118"/>
      <c r="G24" s="118"/>
      <c r="H24" s="114"/>
      <c r="I24" s="114"/>
      <c r="J24" s="114"/>
      <c r="K24" s="114"/>
      <c r="L24" s="114"/>
      <c r="M24" s="114"/>
      <c r="N24" s="109"/>
      <c r="O24" s="114"/>
      <c r="P24" s="108"/>
      <c r="Q24" s="114"/>
    </row>
    <row r="25" spans="1:17" x14ac:dyDescent="0.25">
      <c r="A25" s="108"/>
      <c r="B25" s="117"/>
      <c r="C25" s="118"/>
      <c r="D25" s="120"/>
      <c r="E25" s="118"/>
      <c r="F25" s="118"/>
      <c r="G25" s="118"/>
      <c r="H25" s="108"/>
      <c r="I25" s="108"/>
      <c r="J25" s="108"/>
      <c r="K25" s="108"/>
      <c r="L25" s="108"/>
      <c r="M25" s="108"/>
      <c r="N25" s="109"/>
      <c r="O25" s="108"/>
      <c r="P25" s="108"/>
      <c r="Q25" s="108"/>
    </row>
    <row r="26" spans="1:17" x14ac:dyDescent="0.25">
      <c r="A26" s="108"/>
      <c r="B26" s="117"/>
      <c r="C26" s="118"/>
      <c r="D26" s="120"/>
      <c r="E26" s="118"/>
      <c r="F26" s="118"/>
      <c r="G26" s="118"/>
      <c r="H26" s="108"/>
      <c r="I26" s="108"/>
      <c r="J26" s="108"/>
      <c r="K26" s="108"/>
      <c r="L26" s="108"/>
      <c r="M26" s="108"/>
      <c r="N26" s="109"/>
      <c r="O26" s="108"/>
      <c r="P26" s="108"/>
      <c r="Q26" s="108"/>
    </row>
    <row r="27" spans="1:17" x14ac:dyDescent="0.25">
      <c r="A27" s="108"/>
      <c r="B27" s="117"/>
      <c r="C27" s="118"/>
      <c r="D27" s="120"/>
      <c r="E27" s="118"/>
      <c r="F27" s="118"/>
      <c r="G27" s="118"/>
      <c r="H27" s="108"/>
      <c r="I27" s="108"/>
      <c r="J27" s="108"/>
      <c r="K27" s="108"/>
      <c r="L27" s="108"/>
      <c r="M27" s="108"/>
      <c r="N27" s="109"/>
      <c r="O27" s="108"/>
      <c r="P27" s="108"/>
      <c r="Q27" s="108"/>
    </row>
    <row r="28" spans="1:17" x14ac:dyDescent="0.25">
      <c r="A28" s="108"/>
      <c r="B28" s="117"/>
      <c r="C28" s="118"/>
      <c r="D28" s="120"/>
      <c r="E28" s="118"/>
      <c r="F28" s="118"/>
      <c r="G28" s="118"/>
      <c r="H28" s="108"/>
      <c r="I28" s="108"/>
      <c r="J28" s="108"/>
      <c r="K28" s="108"/>
      <c r="L28" s="108"/>
      <c r="M28" s="108"/>
      <c r="N28" s="109"/>
      <c r="O28" s="108"/>
      <c r="P28" s="108"/>
      <c r="Q28" s="108"/>
    </row>
    <row r="29" spans="1:17" x14ac:dyDescent="0.25">
      <c r="A29" s="108"/>
      <c r="B29" s="117"/>
      <c r="C29" s="118"/>
      <c r="D29" s="120"/>
      <c r="E29" s="118"/>
      <c r="F29" s="118"/>
      <c r="G29" s="118"/>
      <c r="H29" s="108"/>
      <c r="I29" s="108"/>
      <c r="J29" s="108"/>
      <c r="K29" s="108"/>
      <c r="L29" s="108"/>
      <c r="M29" s="108"/>
      <c r="N29" s="109"/>
      <c r="O29" s="108"/>
      <c r="P29" s="108"/>
      <c r="Q29" s="108"/>
    </row>
    <row r="30" spans="1:17" x14ac:dyDescent="0.25">
      <c r="A30" s="108"/>
      <c r="B30" s="117"/>
      <c r="C30" s="118"/>
      <c r="D30" s="120"/>
      <c r="E30" s="118"/>
      <c r="F30" s="118"/>
      <c r="G30" s="118"/>
      <c r="H30" s="108"/>
      <c r="I30" s="108"/>
      <c r="J30" s="108"/>
      <c r="K30" s="108"/>
      <c r="L30" s="108"/>
      <c r="M30" s="108"/>
      <c r="N30" s="109"/>
      <c r="O30" s="108"/>
      <c r="P30" s="108"/>
      <c r="Q30" s="108"/>
    </row>
    <row r="31" spans="1:17" x14ac:dyDescent="0.25">
      <c r="A31" s="108"/>
      <c r="B31" s="117"/>
      <c r="C31" s="118"/>
      <c r="D31" s="120"/>
      <c r="E31" s="118"/>
      <c r="F31" s="118"/>
      <c r="G31" s="118"/>
      <c r="H31" s="108"/>
      <c r="I31" s="108"/>
      <c r="J31" s="108"/>
      <c r="K31" s="108"/>
      <c r="L31" s="108"/>
      <c r="M31" s="108"/>
      <c r="N31" s="109"/>
      <c r="O31" s="108"/>
      <c r="P31" s="108"/>
      <c r="Q31" s="108"/>
    </row>
    <row r="32" spans="1:17" x14ac:dyDescent="0.25">
      <c r="A32" s="108"/>
      <c r="B32" s="117"/>
      <c r="C32" s="118"/>
      <c r="D32" s="120"/>
      <c r="E32" s="118"/>
      <c r="F32" s="118"/>
      <c r="G32" s="118"/>
      <c r="H32" s="108"/>
      <c r="I32" s="108"/>
      <c r="J32" s="108"/>
      <c r="K32" s="108"/>
      <c r="L32" s="108"/>
      <c r="M32" s="108"/>
      <c r="N32" s="109"/>
      <c r="O32" s="108"/>
      <c r="P32" s="108"/>
      <c r="Q32" s="108"/>
    </row>
    <row r="33" spans="1:17" x14ac:dyDescent="0.25">
      <c r="A33" s="108"/>
      <c r="B33" s="117"/>
      <c r="C33" s="118"/>
      <c r="D33" s="120"/>
      <c r="E33" s="118"/>
      <c r="F33" s="118"/>
      <c r="G33" s="118"/>
      <c r="H33" s="108"/>
      <c r="I33" s="108"/>
      <c r="J33" s="108"/>
      <c r="K33" s="108"/>
      <c r="L33" s="108"/>
      <c r="M33" s="108"/>
      <c r="N33" s="109"/>
      <c r="O33" s="108"/>
      <c r="P33" s="108"/>
      <c r="Q33" s="108"/>
    </row>
    <row r="34" spans="1:17" x14ac:dyDescent="0.25">
      <c r="A34" s="108"/>
      <c r="B34" s="117"/>
      <c r="C34" s="118"/>
      <c r="D34" s="120"/>
      <c r="E34" s="118"/>
      <c r="F34" s="118"/>
      <c r="G34" s="118"/>
      <c r="H34" s="108"/>
      <c r="I34" s="108"/>
      <c r="J34" s="108"/>
      <c r="K34" s="108"/>
      <c r="L34" s="108"/>
      <c r="M34" s="108"/>
      <c r="N34" s="109"/>
      <c r="O34" s="108"/>
      <c r="P34" s="108"/>
      <c r="Q34" s="108"/>
    </row>
    <row r="35" spans="1:17" x14ac:dyDescent="0.25">
      <c r="A35" s="108"/>
      <c r="B35" s="117"/>
      <c r="C35" s="118"/>
      <c r="D35" s="120"/>
      <c r="E35" s="118"/>
      <c r="F35" s="118"/>
      <c r="G35" s="118"/>
      <c r="H35" s="108"/>
      <c r="I35" s="108"/>
      <c r="J35" s="108"/>
      <c r="K35" s="108"/>
      <c r="L35" s="108"/>
      <c r="M35" s="108"/>
      <c r="N35" s="109"/>
      <c r="O35" s="108"/>
      <c r="P35" s="108"/>
      <c r="Q35" s="108"/>
    </row>
    <row r="36" spans="1:17" x14ac:dyDescent="0.25">
      <c r="A36" s="108"/>
      <c r="B36" s="117"/>
      <c r="C36" s="118"/>
      <c r="D36" s="120"/>
      <c r="E36" s="118"/>
      <c r="F36" s="118"/>
      <c r="G36" s="118"/>
      <c r="H36" s="108"/>
      <c r="I36" s="108"/>
      <c r="J36" s="108"/>
      <c r="K36" s="108"/>
      <c r="L36" s="108"/>
      <c r="M36" s="108"/>
      <c r="N36" s="109"/>
      <c r="O36" s="108"/>
      <c r="P36" s="108"/>
      <c r="Q36" s="108"/>
    </row>
    <row r="37" spans="1:17" x14ac:dyDescent="0.25">
      <c r="A37" s="108"/>
      <c r="B37" s="117"/>
      <c r="C37" s="118"/>
      <c r="D37" s="120"/>
      <c r="E37" s="118"/>
      <c r="F37" s="118"/>
      <c r="G37" s="118"/>
      <c r="H37" s="108"/>
      <c r="I37" s="108"/>
      <c r="J37" s="108"/>
      <c r="K37" s="108"/>
      <c r="L37" s="108"/>
      <c r="M37" s="108"/>
      <c r="N37" s="109"/>
      <c r="O37" s="108"/>
      <c r="P37" s="108"/>
      <c r="Q37" s="108"/>
    </row>
    <row r="38" spans="1:17" x14ac:dyDescent="0.25">
      <c r="A38" s="108"/>
      <c r="B38" s="117"/>
      <c r="C38" s="118"/>
      <c r="D38" s="120"/>
      <c r="E38" s="118"/>
      <c r="F38" s="118"/>
      <c r="G38" s="118"/>
      <c r="H38" s="108"/>
      <c r="I38" s="108"/>
      <c r="J38" s="108"/>
      <c r="K38" s="108"/>
      <c r="L38" s="108"/>
      <c r="M38" s="108"/>
      <c r="N38" s="109"/>
      <c r="O38" s="108"/>
      <c r="P38" s="108"/>
      <c r="Q38" s="108"/>
    </row>
    <row r="39" spans="1:17" x14ac:dyDescent="0.25">
      <c r="A39" s="108"/>
      <c r="B39" s="117"/>
      <c r="C39" s="118"/>
      <c r="D39" s="120"/>
      <c r="E39" s="118"/>
      <c r="F39" s="118"/>
      <c r="G39" s="118"/>
      <c r="H39" s="108"/>
      <c r="I39" s="108"/>
      <c r="J39" s="108"/>
      <c r="K39" s="108"/>
      <c r="L39" s="108"/>
      <c r="M39" s="108"/>
      <c r="N39" s="109"/>
      <c r="O39" s="108"/>
      <c r="P39" s="108"/>
      <c r="Q39" s="108"/>
    </row>
    <row r="40" spans="1:17" x14ac:dyDescent="0.25">
      <c r="A40" s="108"/>
      <c r="B40" s="117"/>
      <c r="C40" s="118"/>
      <c r="D40" s="120"/>
      <c r="E40" s="118"/>
      <c r="F40" s="118"/>
      <c r="G40" s="118"/>
      <c r="H40" s="108"/>
      <c r="I40" s="108"/>
      <c r="J40" s="108"/>
      <c r="K40" s="108"/>
      <c r="L40" s="108"/>
      <c r="M40" s="108"/>
      <c r="N40" s="109"/>
      <c r="O40" s="108"/>
      <c r="P40" s="108"/>
      <c r="Q40" s="108"/>
    </row>
    <row r="41" spans="1:17" x14ac:dyDescent="0.25">
      <c r="A41" s="108"/>
      <c r="B41" s="117"/>
      <c r="C41" s="118"/>
      <c r="D41" s="120"/>
      <c r="E41" s="118"/>
      <c r="F41" s="118"/>
      <c r="G41" s="118"/>
      <c r="H41" s="108"/>
      <c r="I41" s="108"/>
      <c r="J41" s="108"/>
      <c r="K41" s="108"/>
      <c r="L41" s="108"/>
      <c r="M41" s="108"/>
      <c r="N41" s="109"/>
      <c r="O41" s="108"/>
      <c r="P41" s="108"/>
      <c r="Q41" s="108"/>
    </row>
    <row r="42" spans="1:17" x14ac:dyDescent="0.25">
      <c r="A42" s="108"/>
      <c r="B42" s="117"/>
      <c r="C42" s="118"/>
      <c r="D42" s="120"/>
      <c r="E42" s="118"/>
      <c r="F42" s="118"/>
      <c r="G42" s="118"/>
      <c r="H42" s="108"/>
      <c r="I42" s="108"/>
      <c r="J42" s="108"/>
      <c r="K42" s="108"/>
      <c r="L42" s="108"/>
      <c r="M42" s="108"/>
      <c r="N42" s="109"/>
      <c r="O42" s="108"/>
      <c r="P42" s="108"/>
      <c r="Q42" s="108"/>
    </row>
    <row r="43" spans="1:17" x14ac:dyDescent="0.25">
      <c r="A43" s="108"/>
      <c r="B43" s="117"/>
      <c r="C43" s="118"/>
      <c r="D43" s="120"/>
      <c r="E43" s="118"/>
      <c r="F43" s="118"/>
      <c r="G43" s="118"/>
      <c r="H43" s="108"/>
      <c r="I43" s="108"/>
      <c r="J43" s="108"/>
      <c r="K43" s="108"/>
      <c r="L43" s="108"/>
      <c r="M43" s="108"/>
      <c r="N43" s="109"/>
      <c r="O43" s="108"/>
      <c r="P43" s="108"/>
      <c r="Q43" s="108"/>
    </row>
    <row r="44" spans="1:17" x14ac:dyDescent="0.25">
      <c r="A44" s="108"/>
      <c r="B44" s="117"/>
      <c r="C44" s="118"/>
      <c r="D44" s="120"/>
      <c r="E44" s="118"/>
      <c r="F44" s="118"/>
      <c r="G44" s="118"/>
      <c r="H44" s="108"/>
      <c r="I44" s="108"/>
      <c r="J44" s="108"/>
      <c r="K44" s="108"/>
      <c r="L44" s="108"/>
      <c r="M44" s="108"/>
      <c r="N44" s="109"/>
      <c r="O44" s="108"/>
      <c r="P44" s="108"/>
      <c r="Q44" s="108"/>
    </row>
    <row r="45" spans="1:17" x14ac:dyDescent="0.25">
      <c r="A45" s="108"/>
      <c r="B45" s="117"/>
      <c r="C45" s="118"/>
      <c r="D45" s="120"/>
      <c r="E45" s="118"/>
      <c r="F45" s="118"/>
      <c r="G45" s="118"/>
      <c r="H45" s="108"/>
      <c r="I45" s="108"/>
      <c r="J45" s="108"/>
      <c r="K45" s="108"/>
      <c r="L45" s="108"/>
      <c r="M45" s="108"/>
      <c r="N45" s="109"/>
      <c r="O45" s="108"/>
      <c r="P45" s="108"/>
      <c r="Q45" s="108"/>
    </row>
    <row r="46" spans="1:17" x14ac:dyDescent="0.25">
      <c r="A46" s="108"/>
      <c r="B46" s="117"/>
      <c r="C46" s="118"/>
      <c r="D46" s="120"/>
      <c r="E46" s="118"/>
      <c r="F46" s="118"/>
      <c r="G46" s="118"/>
      <c r="H46" s="108"/>
      <c r="I46" s="108"/>
      <c r="J46" s="108"/>
      <c r="K46" s="108"/>
      <c r="L46" s="108"/>
      <c r="M46" s="108"/>
      <c r="N46" s="109"/>
      <c r="O46" s="108"/>
      <c r="P46" s="108"/>
      <c r="Q46" s="108"/>
    </row>
    <row r="47" spans="1:17" x14ac:dyDescent="0.25">
      <c r="A47" s="108"/>
      <c r="B47" s="117"/>
      <c r="C47" s="118"/>
      <c r="D47" s="120"/>
      <c r="E47" s="118"/>
      <c r="F47" s="118"/>
      <c r="G47" s="118"/>
      <c r="H47" s="108"/>
      <c r="I47" s="108"/>
      <c r="J47" s="108"/>
      <c r="K47" s="108"/>
      <c r="L47" s="108"/>
      <c r="M47" s="108"/>
      <c r="N47" s="109"/>
      <c r="O47" s="108"/>
      <c r="P47" s="108"/>
      <c r="Q47" s="108"/>
    </row>
    <row r="48" spans="1:17" x14ac:dyDescent="0.25">
      <c r="A48" s="108"/>
      <c r="B48" s="117"/>
      <c r="C48" s="118"/>
      <c r="D48" s="120"/>
      <c r="E48" s="118"/>
      <c r="F48" s="118"/>
      <c r="G48" s="118"/>
      <c r="H48" s="108"/>
      <c r="I48" s="108"/>
      <c r="J48" s="108"/>
      <c r="K48" s="108"/>
      <c r="L48" s="108"/>
      <c r="M48" s="108"/>
      <c r="N48" s="109"/>
      <c r="O48" s="108"/>
      <c r="P48" s="108"/>
      <c r="Q48" s="108"/>
    </row>
    <row r="49" spans="1:129" x14ac:dyDescent="0.25">
      <c r="A49" s="108"/>
      <c r="B49" s="117"/>
      <c r="C49" s="118"/>
      <c r="D49" s="120"/>
      <c r="E49" s="118"/>
      <c r="F49" s="118"/>
      <c r="G49" s="118"/>
      <c r="H49" s="108"/>
      <c r="I49" s="108"/>
      <c r="J49" s="108"/>
      <c r="K49" s="108"/>
      <c r="L49" s="108"/>
      <c r="M49" s="108"/>
      <c r="N49" s="108"/>
      <c r="O49" s="108"/>
      <c r="P49" s="108"/>
      <c r="Q49" s="108"/>
    </row>
    <row r="50" spans="1:129" x14ac:dyDescent="0.25">
      <c r="A50" s="108"/>
      <c r="B50" s="117"/>
      <c r="C50" s="118"/>
      <c r="D50" s="120"/>
      <c r="E50" s="118"/>
      <c r="F50" s="118"/>
      <c r="G50" s="118"/>
      <c r="H50" s="108"/>
      <c r="I50" s="108"/>
      <c r="J50" s="108"/>
      <c r="K50" s="108"/>
      <c r="L50" s="108"/>
      <c r="M50" s="108"/>
      <c r="N50" s="108"/>
      <c r="O50" s="108"/>
      <c r="P50" s="108"/>
      <c r="Q50" s="108"/>
    </row>
    <row r="51" spans="1:129" x14ac:dyDescent="0.25">
      <c r="A51" s="108"/>
      <c r="B51" s="117"/>
      <c r="C51" s="118"/>
      <c r="D51" s="120"/>
      <c r="E51" s="118"/>
      <c r="F51" s="118"/>
      <c r="G51" s="118"/>
      <c r="H51" s="108"/>
      <c r="I51" s="108"/>
      <c r="J51" s="108"/>
      <c r="K51" s="108"/>
      <c r="L51" s="108"/>
      <c r="M51" s="108"/>
      <c r="N51" s="108"/>
      <c r="O51" s="108"/>
      <c r="P51" s="108"/>
      <c r="Q51" s="108"/>
    </row>
    <row r="52" spans="1:129" x14ac:dyDescent="0.25">
      <c r="A52" s="108"/>
      <c r="B52" s="117"/>
      <c r="C52" s="118"/>
      <c r="D52" s="120"/>
      <c r="E52" s="118"/>
      <c r="F52" s="118"/>
      <c r="G52" s="118"/>
      <c r="H52" s="108"/>
      <c r="I52" s="108"/>
      <c r="J52" s="108"/>
      <c r="K52" s="108"/>
      <c r="L52" s="108"/>
      <c r="M52" s="108"/>
      <c r="N52" s="108"/>
      <c r="O52" s="108"/>
      <c r="P52" s="108"/>
      <c r="Q52" s="108"/>
    </row>
    <row r="53" spans="1:129" x14ac:dyDescent="0.25">
      <c r="A53" s="108"/>
      <c r="B53" s="117"/>
      <c r="C53" s="118"/>
      <c r="D53" s="120"/>
      <c r="E53" s="118"/>
      <c r="F53" s="118"/>
      <c r="G53" s="118"/>
      <c r="H53" s="108"/>
      <c r="I53" s="108"/>
      <c r="J53" s="108"/>
      <c r="K53" s="108"/>
      <c r="L53" s="108"/>
      <c r="M53" s="108"/>
      <c r="N53" s="108"/>
      <c r="O53" s="108"/>
      <c r="P53" s="108"/>
      <c r="Q53" s="108"/>
    </row>
    <row r="54" spans="1:129" x14ac:dyDescent="0.25">
      <c r="A54" s="108"/>
      <c r="B54" s="117"/>
      <c r="C54" s="118"/>
      <c r="D54" s="120"/>
      <c r="E54" s="118"/>
      <c r="F54" s="118"/>
      <c r="G54" s="118"/>
      <c r="H54" s="108"/>
      <c r="I54" s="108"/>
      <c r="J54" s="108"/>
      <c r="K54" s="108"/>
      <c r="L54" s="108"/>
      <c r="M54" s="108"/>
      <c r="N54" s="108"/>
      <c r="O54" s="108"/>
      <c r="P54" s="108"/>
      <c r="Q54" s="108"/>
    </row>
    <row r="55" spans="1:129" ht="21" customHeight="1" x14ac:dyDescent="0.25">
      <c r="A55" s="108"/>
      <c r="B55" s="117"/>
      <c r="C55" s="118"/>
      <c r="D55" s="120"/>
      <c r="E55" s="118"/>
      <c r="F55" s="118"/>
      <c r="G55" s="118"/>
      <c r="H55" s="108"/>
    </row>
    <row r="56" spans="1:129" x14ac:dyDescent="0.25">
      <c r="A56" s="108"/>
      <c r="B56" s="117"/>
      <c r="C56" s="118"/>
      <c r="D56" s="120"/>
      <c r="E56" s="118"/>
      <c r="F56" s="118"/>
      <c r="G56" s="118"/>
      <c r="H56" s="108"/>
    </row>
    <row r="57" spans="1:129" x14ac:dyDescent="0.25">
      <c r="A57" s="108"/>
      <c r="B57" s="117"/>
      <c r="C57" s="118"/>
      <c r="D57" s="120"/>
      <c r="E57" s="118"/>
      <c r="F57" s="118"/>
      <c r="G57" s="118"/>
      <c r="H57" s="108"/>
    </row>
    <row r="58" spans="1:129" x14ac:dyDescent="0.25">
      <c r="A58" s="108"/>
      <c r="B58" s="117"/>
      <c r="C58" s="118"/>
      <c r="D58" s="120"/>
      <c r="E58" s="118"/>
      <c r="F58" s="118"/>
      <c r="G58" s="118"/>
      <c r="H58" s="108"/>
    </row>
    <row r="59" spans="1:129" x14ac:dyDescent="0.25">
      <c r="A59" s="108"/>
      <c r="B59" s="108"/>
      <c r="C59" s="108"/>
      <c r="D59" s="109"/>
      <c r="E59" s="108"/>
      <c r="F59" s="108"/>
      <c r="G59" s="108"/>
      <c r="H59" s="108"/>
    </row>
    <row r="60" spans="1:129" x14ac:dyDescent="0.25">
      <c r="A60" s="108"/>
      <c r="B60" s="108"/>
      <c r="C60" s="108"/>
      <c r="D60" s="109"/>
      <c r="E60" s="108"/>
      <c r="F60" s="108"/>
      <c r="G60" s="108"/>
      <c r="H60" s="108"/>
    </row>
    <row r="61" spans="1:129" x14ac:dyDescent="0.25">
      <c r="A61" s="108"/>
      <c r="B61" s="108"/>
      <c r="C61" s="108"/>
      <c r="D61" s="109"/>
      <c r="E61" s="108"/>
      <c r="F61" s="108"/>
      <c r="G61" s="108"/>
      <c r="H61" s="108"/>
    </row>
    <row r="62" spans="1:129" x14ac:dyDescent="0.25">
      <c r="A62" s="108"/>
      <c r="B62" s="108"/>
      <c r="C62" s="108"/>
      <c r="D62" s="109"/>
      <c r="E62" s="108"/>
      <c r="F62" s="108"/>
      <c r="G62" s="108"/>
      <c r="H62" s="108"/>
    </row>
    <row r="63" spans="1:129" x14ac:dyDescent="0.25">
      <c r="A63" s="108"/>
      <c r="B63" s="108"/>
      <c r="C63" s="108"/>
      <c r="D63" s="109"/>
      <c r="E63" s="108"/>
      <c r="F63" s="108"/>
      <c r="G63" s="108"/>
      <c r="H63" s="108"/>
    </row>
    <row r="64" spans="1:129" s="34" customFormat="1" x14ac:dyDescent="0.25">
      <c r="A64" s="31"/>
      <c r="B64" s="31"/>
      <c r="C64" s="31"/>
      <c r="D64" s="31"/>
      <c r="E64" s="31"/>
      <c r="F64" s="31"/>
      <c r="G64" s="31"/>
      <c r="H64" s="31"/>
      <c r="I64" s="31"/>
      <c r="J64" s="31"/>
      <c r="K64" s="31"/>
      <c r="L64" s="31"/>
      <c r="M64" s="31"/>
      <c r="N64" s="31"/>
      <c r="O64" s="31"/>
      <c r="P64" s="31"/>
      <c r="Q64" s="31"/>
      <c r="R64" s="31"/>
      <c r="S64" s="32"/>
      <c r="T64" s="32"/>
      <c r="U64" s="32"/>
      <c r="V64" s="32"/>
      <c r="W64" s="32"/>
      <c r="X64" s="32"/>
      <c r="Y64" s="32"/>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row>
    <row r="65" spans="1:8" x14ac:dyDescent="0.25">
      <c r="A65" s="108"/>
      <c r="B65" s="108"/>
      <c r="C65" s="108"/>
      <c r="D65" s="109"/>
      <c r="E65" s="108"/>
      <c r="F65" s="108"/>
      <c r="G65" s="108"/>
      <c r="H65" s="108"/>
    </row>
    <row r="66" spans="1:8" x14ac:dyDescent="0.25">
      <c r="A66" s="108"/>
      <c r="B66" s="108"/>
      <c r="C66" s="108"/>
      <c r="D66" s="109"/>
      <c r="E66" s="108"/>
      <c r="F66" s="108"/>
      <c r="G66" s="108"/>
      <c r="H66" s="108"/>
    </row>
    <row r="67" spans="1:8" x14ac:dyDescent="0.25">
      <c r="A67" s="108"/>
      <c r="B67" s="108"/>
      <c r="C67" s="108"/>
      <c r="D67" s="109"/>
      <c r="E67" s="108"/>
      <c r="F67" s="108"/>
      <c r="G67" s="108"/>
      <c r="H67" s="108"/>
    </row>
    <row r="68" spans="1:8" x14ac:dyDescent="0.25">
      <c r="A68" s="108"/>
      <c r="B68" s="108"/>
      <c r="C68" s="108"/>
      <c r="D68" s="109"/>
      <c r="E68" s="108"/>
      <c r="F68" s="108"/>
      <c r="G68" s="108"/>
      <c r="H68" s="108"/>
    </row>
    <row r="69" spans="1:8" x14ac:dyDescent="0.25">
      <c r="A69" s="108"/>
      <c r="B69" s="108"/>
      <c r="C69" s="108"/>
      <c r="D69" s="109"/>
      <c r="E69" s="108"/>
      <c r="F69" s="108"/>
      <c r="G69" s="108"/>
      <c r="H69" s="108"/>
    </row>
    <row r="70" spans="1:8" x14ac:dyDescent="0.25">
      <c r="A70" s="108"/>
      <c r="B70" s="108"/>
      <c r="C70" s="108"/>
      <c r="D70" s="109"/>
      <c r="E70" s="108"/>
      <c r="F70" s="108"/>
      <c r="G70" s="108"/>
      <c r="H70" s="108"/>
    </row>
    <row r="71" spans="1:8" ht="6" customHeight="1" x14ac:dyDescent="0.25">
      <c r="A71" s="108"/>
      <c r="B71" s="108"/>
      <c r="C71" s="108"/>
      <c r="D71" s="109"/>
      <c r="E71" s="108"/>
      <c r="F71" s="108"/>
      <c r="G71" s="108"/>
      <c r="H71" s="108"/>
    </row>
    <row r="72" spans="1:8" x14ac:dyDescent="0.25">
      <c r="A72" s="108"/>
      <c r="B72" s="108"/>
      <c r="C72" s="108"/>
      <c r="D72" s="109"/>
      <c r="E72" s="108"/>
      <c r="F72" s="108"/>
      <c r="G72" s="108"/>
      <c r="H72" s="108"/>
    </row>
    <row r="73" spans="1:8" x14ac:dyDescent="0.25">
      <c r="A73" s="108"/>
      <c r="B73" s="108"/>
      <c r="C73" s="108"/>
      <c r="D73" s="109"/>
      <c r="E73" s="108"/>
      <c r="F73" s="108"/>
      <c r="G73" s="108"/>
      <c r="H73" s="108"/>
    </row>
    <row r="74" spans="1:8" x14ac:dyDescent="0.25">
      <c r="A74" s="108"/>
      <c r="B74" s="108"/>
      <c r="C74" s="108"/>
      <c r="D74" s="109"/>
      <c r="E74" s="108"/>
      <c r="F74" s="108"/>
      <c r="G74" s="108"/>
      <c r="H74" s="108"/>
    </row>
    <row r="75" spans="1:8" x14ac:dyDescent="0.25">
      <c r="A75" s="108"/>
      <c r="B75" s="108"/>
      <c r="C75" s="108"/>
      <c r="D75" s="109"/>
      <c r="E75" s="108"/>
      <c r="F75" s="108"/>
      <c r="G75" s="108"/>
      <c r="H75" s="108"/>
    </row>
    <row r="104" ht="12.75" customHeight="1" x14ac:dyDescent="0.25"/>
  </sheetData>
  <sheetProtection algorithmName="SHA-512" hashValue="Vm6l7RE92uqe3sczePNDFj+gEAlT/xaiJv4GEuNreD6Tc+ZWmw8RnBzcnoky+knFFj566DcJQCJP2zNhKO0ChA==" saltValue="Qi6NtLerz6v07zugbn/ynw==" spinCount="100000" sheet="1" objects="1" scenarios="1"/>
  <mergeCells count="2">
    <mergeCell ref="B6:G6"/>
    <mergeCell ref="B4:G4"/>
  </mergeCells>
  <phoneticPr fontId="4" type="noConversion"/>
  <conditionalFormatting sqref="B10:G58">
    <cfRule type="expression" dxfId="14" priority="2">
      <formula>ISBLANK($B9)</formula>
    </cfRule>
  </conditionalFormatting>
  <printOptions horizontalCentered="1"/>
  <pageMargins left="0.25" right="0.25" top="0.75" bottom="0.75" header="0.3" footer="0.3"/>
  <pageSetup paperSize="9" scale="70" orientation="portrait" r:id="rId1"/>
  <headerFooter>
    <oddFooter xml:space="preserve">&amp;L&amp;"Consolas,Regular"&amp;9&amp;K00-049Developed by Engr. Muhammad Bayoumi Ali | E-mail: muhammad.bayoumi.ali@gmail.com | LinkedIn: linkedin.com/in/muhammad-bayoumi-ali </oddFooter>
  </headerFooter>
  <rowBreaks count="2" manualBreakCount="2">
    <brk id="94" max="17" man="1"/>
    <brk id="165" max="17"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65C24-EDB9-4763-A468-E8C148EE6E09}">
  <sheetPr codeName="Sheet4">
    <tabColor theme="9"/>
    <pageSetUpPr fitToPage="1"/>
  </sheetPr>
  <dimension ref="A1:DZ126"/>
  <sheetViews>
    <sheetView zoomScaleNormal="100" zoomScaleSheetLayoutView="100" workbookViewId="0"/>
  </sheetViews>
  <sheetFormatPr defaultColWidth="12.7109375" defaultRowHeight="15" x14ac:dyDescent="0.25"/>
  <cols>
    <col min="1" max="1" width="7.7109375" style="110" customWidth="1"/>
    <col min="2" max="8" width="20.7109375" style="110" customWidth="1"/>
    <col min="9" max="9" width="7.7109375" style="110" customWidth="1"/>
    <col min="10" max="10" width="17.140625" style="110" customWidth="1"/>
    <col min="11" max="11" width="30" style="110" customWidth="1"/>
    <col min="12" max="12" width="17.140625" style="110" customWidth="1"/>
    <col min="13" max="13" width="11" style="110" customWidth="1"/>
    <col min="14" max="14" width="10.42578125" style="110" customWidth="1"/>
    <col min="15" max="15" width="11" style="110" customWidth="1"/>
    <col min="16" max="16" width="11.5703125" style="110" customWidth="1"/>
    <col min="17" max="17" width="2.140625" style="110" customWidth="1"/>
    <col min="18" max="18" width="3.140625" style="110" customWidth="1"/>
    <col min="19" max="21" width="12.7109375" style="110"/>
    <col min="22" max="22" width="17.7109375" style="110" bestFit="1" customWidth="1"/>
    <col min="23" max="23" width="18.28515625" style="110" bestFit="1" customWidth="1"/>
    <col min="24" max="24" width="10.85546875" style="110" bestFit="1" customWidth="1"/>
    <col min="25" max="25" width="10.7109375" style="110" bestFit="1" customWidth="1"/>
    <col min="26" max="26" width="12.85546875" style="110" bestFit="1" customWidth="1"/>
    <col min="27" max="27" width="16.28515625" style="110" bestFit="1" customWidth="1"/>
    <col min="28" max="28" width="13.42578125" style="110" bestFit="1" customWidth="1"/>
    <col min="29" max="29" width="10.5703125" style="110" customWidth="1"/>
    <col min="30" max="16384" width="12.7109375" style="110"/>
  </cols>
  <sheetData>
    <row r="1" spans="1:18" ht="8.25" customHeight="1" x14ac:dyDescent="0.25">
      <c r="A1" s="108"/>
      <c r="B1" s="108"/>
      <c r="C1" s="108"/>
      <c r="D1" s="108"/>
      <c r="E1" s="108"/>
      <c r="F1" s="108"/>
      <c r="G1" s="108"/>
      <c r="H1" s="108"/>
      <c r="I1" s="108"/>
      <c r="J1" s="108"/>
      <c r="K1" s="108"/>
      <c r="L1" s="108"/>
      <c r="M1" s="108"/>
      <c r="N1" s="108"/>
      <c r="O1" s="108"/>
      <c r="P1" s="108"/>
      <c r="Q1" s="108"/>
      <c r="R1" s="108"/>
    </row>
    <row r="2" spans="1:18" x14ac:dyDescent="0.25">
      <c r="A2" s="108"/>
      <c r="B2" s="111" t="s">
        <v>34</v>
      </c>
      <c r="C2" s="112">
        <f ca="1">TODAY()</f>
        <v>45981</v>
      </c>
      <c r="D2" s="112"/>
      <c r="E2" s="108"/>
      <c r="F2" s="111"/>
      <c r="I2" s="108"/>
      <c r="J2" s="108"/>
      <c r="K2" s="108"/>
      <c r="L2" s="108"/>
      <c r="M2" s="108"/>
      <c r="N2" s="108"/>
      <c r="O2" s="108"/>
      <c r="P2" s="108"/>
      <c r="Q2" s="108"/>
      <c r="R2" s="108"/>
    </row>
    <row r="3" spans="1:18" ht="6" customHeight="1" x14ac:dyDescent="0.25">
      <c r="A3" s="108"/>
      <c r="B3" s="108"/>
      <c r="C3" s="108"/>
      <c r="D3" s="108"/>
      <c r="E3" s="108"/>
      <c r="F3" s="108"/>
      <c r="G3" s="108"/>
      <c r="H3" s="108"/>
      <c r="I3" s="108"/>
      <c r="J3" s="108"/>
      <c r="K3" s="108"/>
      <c r="L3" s="108"/>
      <c r="M3" s="108"/>
      <c r="N3" s="108"/>
      <c r="O3" s="108"/>
      <c r="P3" s="108"/>
      <c r="Q3" s="108"/>
      <c r="R3" s="108"/>
    </row>
    <row r="4" spans="1:18" ht="47.1" customHeight="1" x14ac:dyDescent="0.25">
      <c r="A4" s="108"/>
      <c r="B4" s="324" t="s">
        <v>169</v>
      </c>
      <c r="C4" s="325"/>
      <c r="D4" s="325"/>
      <c r="E4" s="325"/>
      <c r="F4" s="325"/>
      <c r="G4" s="325"/>
      <c r="H4" s="326"/>
      <c r="I4" s="108"/>
      <c r="J4" s="108"/>
      <c r="K4" s="108"/>
      <c r="L4" s="108"/>
      <c r="M4" s="108"/>
      <c r="N4" s="108"/>
      <c r="O4" s="108"/>
      <c r="P4" s="108"/>
      <c r="Q4" s="108"/>
      <c r="R4" s="108"/>
    </row>
    <row r="5" spans="1:18" s="109" customFormat="1" ht="4.5" customHeight="1" x14ac:dyDescent="0.25">
      <c r="A5" s="108"/>
      <c r="B5" s="113"/>
      <c r="C5" s="113"/>
      <c r="D5" s="113"/>
      <c r="E5" s="113"/>
      <c r="F5" s="113"/>
      <c r="G5" s="113"/>
      <c r="H5" s="113"/>
      <c r="I5" s="113"/>
      <c r="J5" s="113"/>
      <c r="K5" s="113"/>
      <c r="L5" s="113"/>
      <c r="M5" s="113"/>
      <c r="N5" s="113"/>
      <c r="O5" s="113"/>
      <c r="P5" s="113"/>
      <c r="Q5" s="108"/>
      <c r="R5" s="108"/>
    </row>
    <row r="6" spans="1:18" s="109" customFormat="1" ht="15" customHeight="1" x14ac:dyDescent="0.25">
      <c r="A6" s="114"/>
      <c r="B6" s="319" t="s">
        <v>30</v>
      </c>
      <c r="C6" s="320"/>
      <c r="D6" s="320"/>
      <c r="E6" s="320"/>
      <c r="F6" s="320"/>
      <c r="G6" s="320"/>
      <c r="H6" s="327"/>
      <c r="I6" s="115"/>
      <c r="J6" s="115"/>
      <c r="K6" s="115"/>
      <c r="L6" s="115"/>
      <c r="M6" s="115"/>
      <c r="N6" s="115"/>
      <c r="O6" s="116"/>
      <c r="P6" s="114"/>
      <c r="Q6" s="108"/>
      <c r="R6" s="114"/>
    </row>
    <row r="7" spans="1:18" ht="5.25" customHeight="1" x14ac:dyDescent="0.25">
      <c r="A7" s="108"/>
      <c r="B7" s="108"/>
      <c r="C7" s="108"/>
      <c r="D7" s="108"/>
      <c r="E7" s="108"/>
      <c r="F7" s="108"/>
      <c r="G7" s="108"/>
      <c r="H7" s="108"/>
      <c r="I7" s="109"/>
      <c r="J7" s="109"/>
      <c r="K7" s="109"/>
      <c r="L7" s="109"/>
      <c r="M7" s="109"/>
      <c r="N7" s="109"/>
      <c r="O7" s="109"/>
      <c r="P7" s="109"/>
      <c r="Q7" s="108"/>
      <c r="R7" s="108"/>
    </row>
    <row r="8" spans="1:18" x14ac:dyDescent="0.25">
      <c r="A8" s="108"/>
      <c r="B8" s="87" t="s">
        <v>164</v>
      </c>
      <c r="C8" s="87" t="s">
        <v>165</v>
      </c>
      <c r="D8" s="87" t="s">
        <v>14</v>
      </c>
      <c r="E8" s="87" t="s">
        <v>27</v>
      </c>
      <c r="F8" s="87" t="s">
        <v>28</v>
      </c>
      <c r="G8" s="167" t="s">
        <v>43</v>
      </c>
      <c r="H8" s="87" t="s">
        <v>57</v>
      </c>
      <c r="I8" s="109"/>
      <c r="J8" s="109"/>
      <c r="K8" s="109"/>
      <c r="L8" s="109"/>
      <c r="M8" s="109"/>
      <c r="N8" s="109"/>
      <c r="O8" s="109"/>
      <c r="P8" s="109"/>
      <c r="Q8" s="108"/>
      <c r="R8" s="108"/>
    </row>
    <row r="9" spans="1:18" x14ac:dyDescent="0.25">
      <c r="A9" s="108"/>
      <c r="B9" s="130" t="s">
        <v>18</v>
      </c>
      <c r="C9" s="117" t="s">
        <v>36</v>
      </c>
      <c r="D9" s="117">
        <v>953.63499999999999</v>
      </c>
      <c r="E9" s="130">
        <v>624.34699999999998</v>
      </c>
      <c r="F9" s="130">
        <v>1.5</v>
      </c>
      <c r="G9" s="130">
        <v>6.1050000000000004</v>
      </c>
      <c r="H9" s="117" t="s">
        <v>130</v>
      </c>
      <c r="I9" s="109"/>
      <c r="J9" s="109"/>
      <c r="K9" s="109"/>
      <c r="L9" s="109"/>
      <c r="M9" s="109"/>
      <c r="N9" s="109"/>
      <c r="O9" s="109"/>
      <c r="P9" s="109"/>
      <c r="Q9" s="108"/>
      <c r="R9" s="108"/>
    </row>
    <row r="10" spans="1:18" x14ac:dyDescent="0.25">
      <c r="A10" s="108"/>
      <c r="B10" s="117" t="s">
        <v>20</v>
      </c>
      <c r="C10" s="117" t="s">
        <v>36</v>
      </c>
      <c r="D10" s="117">
        <v>975.36900000000003</v>
      </c>
      <c r="E10" s="117">
        <v>621.66100000000006</v>
      </c>
      <c r="F10" s="117">
        <v>1.4</v>
      </c>
      <c r="G10" s="117">
        <v>9</v>
      </c>
      <c r="H10" s="117" t="s">
        <v>128</v>
      </c>
      <c r="I10" s="109"/>
      <c r="J10" s="109"/>
      <c r="K10" s="109"/>
      <c r="L10" s="109"/>
      <c r="M10" s="109"/>
      <c r="N10" s="109"/>
      <c r="O10" s="109"/>
      <c r="P10" s="109"/>
      <c r="Q10" s="108"/>
      <c r="R10" s="108"/>
    </row>
    <row r="11" spans="1:18" x14ac:dyDescent="0.25">
      <c r="A11" s="108"/>
      <c r="B11" s="117" t="s">
        <v>21</v>
      </c>
      <c r="C11" s="117" t="s">
        <v>36</v>
      </c>
      <c r="D11" s="117">
        <v>999.07799999999997</v>
      </c>
      <c r="E11" s="117">
        <v>621.779</v>
      </c>
      <c r="F11" s="117">
        <v>1.4</v>
      </c>
      <c r="G11" s="117">
        <v>9</v>
      </c>
      <c r="H11" s="117" t="s">
        <v>128</v>
      </c>
      <c r="I11" s="109"/>
      <c r="J11" s="109"/>
      <c r="K11" s="109"/>
      <c r="L11" s="109"/>
      <c r="M11" s="109"/>
      <c r="N11" s="109"/>
      <c r="O11" s="109"/>
      <c r="P11" s="109"/>
      <c r="Q11" s="108"/>
      <c r="R11" s="108"/>
    </row>
    <row r="12" spans="1:18" x14ac:dyDescent="0.25">
      <c r="A12" s="108"/>
      <c r="B12" s="117" t="s">
        <v>22</v>
      </c>
      <c r="C12" s="117" t="s">
        <v>37</v>
      </c>
      <c r="D12" s="117">
        <v>1026.739</v>
      </c>
      <c r="E12" s="117">
        <v>622.31799999999998</v>
      </c>
      <c r="F12" s="117">
        <v>1.4</v>
      </c>
      <c r="G12" s="117">
        <v>9</v>
      </c>
      <c r="H12" s="117" t="s">
        <v>129</v>
      </c>
      <c r="I12" s="109"/>
      <c r="J12" s="109"/>
      <c r="K12" s="109"/>
      <c r="L12" s="109"/>
      <c r="M12" s="109"/>
      <c r="N12" s="109"/>
      <c r="O12" s="109"/>
      <c r="P12" s="109"/>
      <c r="Q12" s="108"/>
      <c r="R12" s="108"/>
    </row>
    <row r="13" spans="1:18" x14ac:dyDescent="0.25">
      <c r="A13" s="108"/>
      <c r="B13" s="117" t="s">
        <v>51</v>
      </c>
      <c r="C13" s="117" t="s">
        <v>37</v>
      </c>
      <c r="D13" s="117">
        <v>1048.472</v>
      </c>
      <c r="E13" s="117">
        <v>622.42600000000004</v>
      </c>
      <c r="F13" s="117">
        <v>1.4</v>
      </c>
      <c r="G13" s="117">
        <v>9</v>
      </c>
      <c r="H13" s="117" t="s">
        <v>129</v>
      </c>
      <c r="I13" s="109"/>
      <c r="J13" s="109"/>
      <c r="K13" s="109"/>
      <c r="L13" s="109"/>
      <c r="M13" s="109"/>
      <c r="N13" s="109"/>
      <c r="O13" s="109"/>
      <c r="P13" s="109"/>
      <c r="Q13" s="108"/>
      <c r="R13" s="108"/>
    </row>
    <row r="14" spans="1:18" x14ac:dyDescent="0.25">
      <c r="A14" s="108"/>
      <c r="B14" s="117" t="s">
        <v>52</v>
      </c>
      <c r="C14" s="117" t="s">
        <v>36</v>
      </c>
      <c r="D14" s="117">
        <v>1076.133</v>
      </c>
      <c r="E14" s="117">
        <v>622.16500000000008</v>
      </c>
      <c r="F14" s="117">
        <v>1.4</v>
      </c>
      <c r="G14" s="117">
        <v>9</v>
      </c>
      <c r="H14" s="117" t="s">
        <v>128</v>
      </c>
      <c r="I14" s="109"/>
      <c r="J14" s="109"/>
      <c r="K14" s="109"/>
      <c r="L14" s="109"/>
      <c r="M14" s="109"/>
      <c r="N14" s="109"/>
      <c r="O14" s="109"/>
      <c r="P14" s="109"/>
      <c r="Q14" s="108"/>
      <c r="R14" s="108"/>
    </row>
    <row r="15" spans="1:18" x14ac:dyDescent="0.25">
      <c r="A15" s="108"/>
      <c r="B15" s="117" t="s">
        <v>298</v>
      </c>
      <c r="C15" s="117" t="s">
        <v>36</v>
      </c>
      <c r="D15" s="117">
        <v>1099.8420000000001</v>
      </c>
      <c r="E15" s="117">
        <v>622.28300000000002</v>
      </c>
      <c r="F15" s="117">
        <v>1.4</v>
      </c>
      <c r="G15" s="117">
        <v>9</v>
      </c>
      <c r="H15" s="117" t="s">
        <v>128</v>
      </c>
      <c r="I15" s="109"/>
      <c r="J15" s="109"/>
      <c r="K15" s="109"/>
      <c r="L15" s="109"/>
      <c r="M15" s="109"/>
      <c r="N15" s="109"/>
      <c r="O15" s="109"/>
      <c r="P15" s="109"/>
      <c r="Q15" s="108"/>
      <c r="R15" s="108"/>
    </row>
    <row r="16" spans="1:18" x14ac:dyDescent="0.25">
      <c r="A16" s="108"/>
      <c r="B16" s="117" t="s">
        <v>19</v>
      </c>
      <c r="C16" s="117" t="s">
        <v>36</v>
      </c>
      <c r="D16" s="117">
        <v>1121.575</v>
      </c>
      <c r="E16" s="117">
        <v>623.10599999999999</v>
      </c>
      <c r="F16" s="117">
        <v>1.5</v>
      </c>
      <c r="G16" s="117">
        <v>8.1069999999999993</v>
      </c>
      <c r="H16" s="117" t="s">
        <v>130</v>
      </c>
      <c r="I16" s="109"/>
      <c r="J16" s="109"/>
      <c r="K16" s="109"/>
      <c r="L16" s="109"/>
      <c r="M16" s="109"/>
      <c r="N16" s="109"/>
      <c r="O16" s="109"/>
      <c r="P16" s="109"/>
      <c r="Q16" s="108"/>
      <c r="R16" s="108"/>
    </row>
    <row r="17" spans="1:18" x14ac:dyDescent="0.25">
      <c r="A17" s="108"/>
      <c r="B17" s="117" t="s">
        <v>184</v>
      </c>
      <c r="C17" s="117" t="s">
        <v>182</v>
      </c>
      <c r="D17" s="117">
        <v>964.50199999999995</v>
      </c>
      <c r="E17" s="117"/>
      <c r="F17" s="117"/>
      <c r="G17" s="117"/>
      <c r="H17" s="117" t="s">
        <v>183</v>
      </c>
      <c r="I17" s="109"/>
      <c r="J17" s="109"/>
      <c r="K17" s="109"/>
      <c r="L17" s="109"/>
      <c r="M17" s="109"/>
      <c r="N17" s="109"/>
      <c r="O17" s="109"/>
      <c r="P17" s="109"/>
      <c r="Q17" s="108"/>
      <c r="R17" s="108"/>
    </row>
    <row r="18" spans="1:18" x14ac:dyDescent="0.25">
      <c r="A18" s="108"/>
      <c r="B18" s="117" t="s">
        <v>185</v>
      </c>
      <c r="C18" s="117" t="s">
        <v>182</v>
      </c>
      <c r="D18" s="117">
        <v>987.22299999999996</v>
      </c>
      <c r="E18" s="117"/>
      <c r="F18" s="117"/>
      <c r="G18" s="117"/>
      <c r="H18" s="117" t="s">
        <v>183</v>
      </c>
      <c r="I18" s="109"/>
      <c r="J18" s="109"/>
      <c r="K18" s="109"/>
      <c r="L18" s="109"/>
      <c r="M18" s="109"/>
      <c r="N18" s="109"/>
      <c r="O18" s="109"/>
      <c r="P18" s="109"/>
      <c r="Q18" s="108"/>
      <c r="R18" s="108"/>
    </row>
    <row r="19" spans="1:18" x14ac:dyDescent="0.25">
      <c r="A19" s="108"/>
      <c r="B19" s="117" t="s">
        <v>186</v>
      </c>
      <c r="C19" s="117" t="s">
        <v>182</v>
      </c>
      <c r="D19" s="117">
        <v>1012.908</v>
      </c>
      <c r="E19" s="117"/>
      <c r="F19" s="117"/>
      <c r="G19" s="117"/>
      <c r="H19" s="117" t="s">
        <v>183</v>
      </c>
      <c r="I19" s="109"/>
      <c r="J19" s="109"/>
      <c r="K19" s="109"/>
      <c r="L19" s="109"/>
      <c r="M19" s="109"/>
      <c r="N19" s="109"/>
      <c r="O19" s="109"/>
      <c r="P19" s="109"/>
      <c r="Q19" s="108"/>
      <c r="R19" s="108"/>
    </row>
    <row r="20" spans="1:18" x14ac:dyDescent="0.25">
      <c r="A20" s="108"/>
      <c r="B20" s="117" t="s">
        <v>187</v>
      </c>
      <c r="C20" s="117" t="s">
        <v>182</v>
      </c>
      <c r="D20" s="117">
        <v>1037.605</v>
      </c>
      <c r="E20" s="117"/>
      <c r="F20" s="117"/>
      <c r="G20" s="117"/>
      <c r="H20" s="117" t="s">
        <v>183</v>
      </c>
      <c r="I20" s="109"/>
      <c r="J20" s="109"/>
      <c r="K20" s="109"/>
      <c r="L20" s="109"/>
      <c r="M20" s="109"/>
      <c r="N20" s="109"/>
      <c r="O20" s="109"/>
      <c r="P20" s="109"/>
      <c r="Q20" s="108"/>
      <c r="R20" s="108"/>
    </row>
    <row r="21" spans="1:18" x14ac:dyDescent="0.25">
      <c r="A21" s="108"/>
      <c r="B21" s="117" t="s">
        <v>299</v>
      </c>
      <c r="C21" s="117" t="s">
        <v>182</v>
      </c>
      <c r="D21" s="117">
        <v>1062.3030000000001</v>
      </c>
      <c r="E21" s="117"/>
      <c r="F21" s="117"/>
      <c r="G21" s="117"/>
      <c r="H21" s="117" t="s">
        <v>183</v>
      </c>
      <c r="I21" s="109"/>
      <c r="J21" s="109"/>
      <c r="K21" s="109"/>
      <c r="L21" s="109"/>
      <c r="M21" s="109"/>
      <c r="N21" s="109"/>
      <c r="O21" s="109"/>
      <c r="P21" s="109"/>
      <c r="Q21" s="108"/>
      <c r="R21" s="108"/>
    </row>
    <row r="22" spans="1:18" x14ac:dyDescent="0.25">
      <c r="A22" s="108"/>
      <c r="B22" s="117" t="s">
        <v>300</v>
      </c>
      <c r="C22" s="117" t="s">
        <v>182</v>
      </c>
      <c r="D22" s="117">
        <v>1087.9880000000001</v>
      </c>
      <c r="E22" s="117"/>
      <c r="F22" s="117"/>
      <c r="G22" s="117"/>
      <c r="H22" s="117" t="s">
        <v>183</v>
      </c>
      <c r="I22" s="109"/>
      <c r="J22" s="109"/>
      <c r="K22" s="109"/>
      <c r="L22" s="109"/>
      <c r="M22" s="109"/>
      <c r="N22" s="109"/>
      <c r="O22" s="109"/>
      <c r="P22" s="109"/>
      <c r="Q22" s="108"/>
      <c r="R22" s="108"/>
    </row>
    <row r="23" spans="1:18" x14ac:dyDescent="0.25">
      <c r="A23" s="108"/>
      <c r="B23" s="117" t="s">
        <v>301</v>
      </c>
      <c r="C23" s="117" t="s">
        <v>182</v>
      </c>
      <c r="D23" s="117">
        <v>1110.7090000000001</v>
      </c>
      <c r="E23" s="117"/>
      <c r="F23" s="117"/>
      <c r="G23" s="117"/>
      <c r="H23" s="117" t="s">
        <v>183</v>
      </c>
      <c r="I23" s="109"/>
      <c r="J23" s="109"/>
      <c r="K23" s="109"/>
      <c r="L23" s="109"/>
      <c r="M23" s="109"/>
      <c r="N23" s="109"/>
      <c r="O23" s="109"/>
      <c r="P23" s="109"/>
      <c r="Q23" s="108"/>
      <c r="R23" s="108"/>
    </row>
    <row r="24" spans="1:18" x14ac:dyDescent="0.25">
      <c r="A24" s="108"/>
      <c r="B24" s="117" t="s">
        <v>188</v>
      </c>
      <c r="C24" s="117" t="s">
        <v>182</v>
      </c>
      <c r="D24" s="117">
        <v>952.84500000000003</v>
      </c>
      <c r="E24" s="117"/>
      <c r="F24" s="117"/>
      <c r="G24" s="117"/>
      <c r="H24" s="117" t="s">
        <v>183</v>
      </c>
      <c r="I24" s="109"/>
      <c r="J24" s="109"/>
      <c r="K24" s="109"/>
      <c r="L24" s="109"/>
      <c r="M24" s="109"/>
      <c r="N24" s="109"/>
      <c r="O24" s="109"/>
      <c r="P24" s="109"/>
      <c r="Q24" s="108"/>
      <c r="R24" s="108"/>
    </row>
    <row r="25" spans="1:18" x14ac:dyDescent="0.25">
      <c r="A25" s="108"/>
      <c r="B25" s="117" t="s">
        <v>189</v>
      </c>
      <c r="C25" s="117" t="s">
        <v>182</v>
      </c>
      <c r="D25" s="117">
        <v>1122.366</v>
      </c>
      <c r="E25" s="117"/>
      <c r="F25" s="117"/>
      <c r="G25" s="117"/>
      <c r="H25" s="117" t="s">
        <v>183</v>
      </c>
      <c r="I25" s="109"/>
      <c r="J25" s="109"/>
      <c r="K25" s="109"/>
      <c r="L25" s="109"/>
      <c r="M25" s="109"/>
      <c r="N25" s="109"/>
      <c r="O25" s="109"/>
      <c r="P25" s="109"/>
      <c r="Q25" s="108"/>
      <c r="R25" s="108"/>
    </row>
    <row r="26" spans="1:18" x14ac:dyDescent="0.25">
      <c r="A26" s="108"/>
      <c r="B26" s="117"/>
      <c r="C26" s="117"/>
      <c r="D26" s="117"/>
      <c r="E26" s="117"/>
      <c r="F26" s="117"/>
      <c r="G26" s="117"/>
      <c r="H26" s="117"/>
      <c r="I26" s="109"/>
      <c r="J26" s="109"/>
      <c r="K26" s="109"/>
      <c r="L26" s="109"/>
      <c r="M26" s="109"/>
      <c r="N26" s="109"/>
      <c r="O26" s="109"/>
      <c r="P26" s="109"/>
      <c r="Q26" s="108"/>
      <c r="R26" s="108"/>
    </row>
    <row r="27" spans="1:18" x14ac:dyDescent="0.25">
      <c r="A27" s="108"/>
      <c r="B27" s="117"/>
      <c r="C27" s="117"/>
      <c r="D27" s="117"/>
      <c r="E27" s="117"/>
      <c r="F27" s="117"/>
      <c r="G27" s="117"/>
      <c r="H27" s="117"/>
      <c r="I27" s="109"/>
      <c r="J27" s="109"/>
      <c r="K27" s="109"/>
      <c r="L27" s="109"/>
      <c r="M27" s="109"/>
      <c r="N27" s="109"/>
      <c r="O27" s="109"/>
      <c r="P27" s="109"/>
      <c r="Q27" s="108"/>
      <c r="R27" s="108"/>
    </row>
    <row r="28" spans="1:18" x14ac:dyDescent="0.25">
      <c r="A28" s="108"/>
      <c r="B28" s="117"/>
      <c r="C28" s="117"/>
      <c r="D28" s="117"/>
      <c r="E28" s="117"/>
      <c r="F28" s="117"/>
      <c r="G28" s="117"/>
      <c r="H28" s="117"/>
      <c r="I28" s="109"/>
      <c r="J28" s="109"/>
      <c r="K28" s="109"/>
      <c r="L28" s="109"/>
      <c r="M28" s="109"/>
      <c r="N28" s="109"/>
      <c r="O28" s="109"/>
      <c r="P28" s="109"/>
      <c r="Q28" s="108"/>
      <c r="R28" s="108"/>
    </row>
    <row r="29" spans="1:18" x14ac:dyDescent="0.25">
      <c r="A29" s="108"/>
      <c r="B29" s="117"/>
      <c r="C29" s="117"/>
      <c r="D29" s="117"/>
      <c r="E29" s="117"/>
      <c r="F29" s="117"/>
      <c r="G29" s="117"/>
      <c r="H29" s="117"/>
      <c r="I29" s="109"/>
      <c r="J29" s="109"/>
      <c r="K29" s="109"/>
      <c r="L29" s="109"/>
      <c r="M29" s="109"/>
      <c r="N29" s="109"/>
      <c r="O29" s="109"/>
      <c r="P29" s="109"/>
      <c r="Q29" s="108"/>
      <c r="R29" s="108"/>
    </row>
    <row r="30" spans="1:18" x14ac:dyDescent="0.25">
      <c r="A30" s="108"/>
      <c r="B30" s="117"/>
      <c r="C30" s="117"/>
      <c r="D30" s="117"/>
      <c r="E30" s="117"/>
      <c r="F30" s="117"/>
      <c r="G30" s="117"/>
      <c r="H30" s="117"/>
      <c r="I30" s="109"/>
      <c r="J30" s="109"/>
      <c r="K30" s="109"/>
      <c r="L30" s="109"/>
      <c r="M30" s="109"/>
      <c r="N30" s="109"/>
      <c r="O30" s="109"/>
      <c r="P30" s="109"/>
      <c r="Q30" s="108"/>
      <c r="R30" s="108"/>
    </row>
    <row r="31" spans="1:18" x14ac:dyDescent="0.25">
      <c r="A31" s="108"/>
      <c r="B31" s="117"/>
      <c r="C31" s="117"/>
      <c r="D31" s="117"/>
      <c r="E31" s="117"/>
      <c r="F31" s="117"/>
      <c r="G31" s="117"/>
      <c r="H31" s="117"/>
      <c r="I31" s="109"/>
      <c r="J31" s="109"/>
      <c r="K31" s="109"/>
      <c r="L31" s="109"/>
      <c r="M31" s="109"/>
      <c r="N31" s="109"/>
      <c r="O31" s="109"/>
      <c r="P31" s="109"/>
      <c r="Q31" s="108"/>
      <c r="R31" s="108"/>
    </row>
    <row r="32" spans="1:18" x14ac:dyDescent="0.25">
      <c r="A32" s="108"/>
      <c r="B32" s="117"/>
      <c r="C32" s="117"/>
      <c r="D32" s="117"/>
      <c r="E32" s="117"/>
      <c r="F32" s="117"/>
      <c r="G32" s="117"/>
      <c r="H32" s="117"/>
      <c r="I32" s="109"/>
      <c r="J32" s="109"/>
      <c r="K32" s="109"/>
      <c r="L32" s="109"/>
      <c r="M32" s="109"/>
      <c r="N32" s="109"/>
      <c r="O32" s="109"/>
      <c r="P32" s="109"/>
      <c r="Q32" s="108"/>
      <c r="R32" s="108"/>
    </row>
    <row r="33" spans="1:18" x14ac:dyDescent="0.25">
      <c r="A33" s="108"/>
      <c r="B33" s="117"/>
      <c r="C33" s="117"/>
      <c r="D33" s="117"/>
      <c r="E33" s="117"/>
      <c r="F33" s="117"/>
      <c r="G33" s="117"/>
      <c r="H33" s="117"/>
      <c r="I33" s="109"/>
      <c r="J33" s="109"/>
      <c r="K33" s="109"/>
      <c r="L33" s="109"/>
      <c r="M33" s="109"/>
      <c r="N33" s="109"/>
      <c r="O33" s="109"/>
      <c r="P33" s="109"/>
      <c r="Q33" s="108"/>
      <c r="R33" s="108"/>
    </row>
    <row r="34" spans="1:18" x14ac:dyDescent="0.25">
      <c r="A34" s="108"/>
      <c r="B34" s="117"/>
      <c r="C34" s="117"/>
      <c r="D34" s="117"/>
      <c r="E34" s="117"/>
      <c r="F34" s="117"/>
      <c r="G34" s="117"/>
      <c r="H34" s="117"/>
      <c r="I34" s="109"/>
      <c r="J34" s="109"/>
      <c r="K34" s="109"/>
      <c r="L34" s="109"/>
      <c r="M34" s="109"/>
      <c r="N34" s="109"/>
      <c r="O34" s="109"/>
      <c r="P34" s="109"/>
      <c r="Q34" s="108"/>
      <c r="R34" s="108"/>
    </row>
    <row r="35" spans="1:18" x14ac:dyDescent="0.25">
      <c r="A35" s="108"/>
      <c r="B35" s="117"/>
      <c r="C35" s="117"/>
      <c r="D35" s="117"/>
      <c r="E35" s="117"/>
      <c r="F35" s="117"/>
      <c r="G35" s="117"/>
      <c r="H35" s="117"/>
      <c r="I35" s="109"/>
      <c r="J35" s="109"/>
      <c r="K35" s="109"/>
      <c r="L35" s="109"/>
      <c r="M35" s="109"/>
      <c r="N35" s="109"/>
      <c r="O35" s="109"/>
      <c r="P35" s="109"/>
      <c r="Q35" s="108"/>
      <c r="R35" s="108"/>
    </row>
    <row r="36" spans="1:18" x14ac:dyDescent="0.25">
      <c r="A36" s="108"/>
      <c r="B36" s="117"/>
      <c r="C36" s="117"/>
      <c r="D36" s="117"/>
      <c r="E36" s="117"/>
      <c r="F36" s="117"/>
      <c r="G36" s="117"/>
      <c r="H36" s="117"/>
      <c r="I36" s="108"/>
      <c r="J36" s="108"/>
      <c r="K36" s="108"/>
      <c r="L36" s="108"/>
      <c r="M36" s="108"/>
      <c r="N36" s="108"/>
      <c r="O36" s="109"/>
      <c r="P36" s="108"/>
      <c r="Q36" s="108"/>
      <c r="R36" s="108"/>
    </row>
    <row r="37" spans="1:18" x14ac:dyDescent="0.25">
      <c r="A37" s="108"/>
      <c r="B37" s="117"/>
      <c r="C37" s="117"/>
      <c r="D37" s="117"/>
      <c r="E37" s="117"/>
      <c r="F37" s="117"/>
      <c r="G37" s="117"/>
      <c r="H37" s="117"/>
      <c r="I37" s="108"/>
      <c r="J37" s="108"/>
      <c r="K37" s="108"/>
      <c r="L37" s="108"/>
      <c r="M37" s="108"/>
      <c r="N37" s="108"/>
      <c r="O37" s="109"/>
      <c r="P37" s="108"/>
      <c r="Q37" s="108"/>
      <c r="R37" s="108"/>
    </row>
    <row r="38" spans="1:18" x14ac:dyDescent="0.25">
      <c r="A38" s="108"/>
      <c r="B38" s="117"/>
      <c r="C38" s="117"/>
      <c r="D38" s="117"/>
      <c r="E38" s="117"/>
      <c r="F38" s="117"/>
      <c r="G38" s="117"/>
      <c r="H38" s="117"/>
      <c r="I38" s="108"/>
      <c r="J38" s="108"/>
      <c r="K38" s="108"/>
      <c r="L38" s="108"/>
      <c r="M38" s="108"/>
      <c r="N38" s="108"/>
      <c r="O38" s="109"/>
      <c r="P38" s="108"/>
      <c r="Q38" s="108"/>
      <c r="R38" s="108"/>
    </row>
    <row r="39" spans="1:18" x14ac:dyDescent="0.25">
      <c r="A39" s="108"/>
      <c r="B39" s="117"/>
      <c r="C39" s="117"/>
      <c r="D39" s="117"/>
      <c r="E39" s="117"/>
      <c r="F39" s="117"/>
      <c r="G39" s="117"/>
      <c r="H39" s="117"/>
      <c r="I39" s="108"/>
      <c r="J39" s="108"/>
      <c r="K39" s="108"/>
      <c r="L39" s="108"/>
      <c r="M39" s="108"/>
      <c r="N39" s="108"/>
      <c r="O39" s="109"/>
      <c r="P39" s="108"/>
      <c r="Q39" s="108"/>
      <c r="R39" s="108"/>
    </row>
    <row r="40" spans="1:18" x14ac:dyDescent="0.25">
      <c r="A40" s="108"/>
      <c r="B40" s="117"/>
      <c r="C40" s="117"/>
      <c r="D40" s="117"/>
      <c r="E40" s="117"/>
      <c r="F40" s="117"/>
      <c r="G40" s="117"/>
      <c r="H40" s="117"/>
      <c r="I40" s="108"/>
      <c r="J40" s="108"/>
      <c r="K40" s="108"/>
      <c r="L40" s="108"/>
      <c r="M40" s="108"/>
      <c r="N40" s="108"/>
      <c r="O40" s="109"/>
      <c r="P40" s="108"/>
      <c r="Q40" s="108"/>
      <c r="R40" s="108"/>
    </row>
    <row r="41" spans="1:18" x14ac:dyDescent="0.25">
      <c r="A41" s="108"/>
      <c r="B41" s="117"/>
      <c r="C41" s="117"/>
      <c r="D41" s="117"/>
      <c r="E41" s="117"/>
      <c r="F41" s="117"/>
      <c r="G41" s="117"/>
      <c r="H41" s="117"/>
      <c r="I41" s="108"/>
      <c r="J41" s="108"/>
      <c r="K41" s="108"/>
      <c r="L41" s="108"/>
      <c r="M41" s="108"/>
      <c r="N41" s="108"/>
      <c r="O41" s="109"/>
      <c r="P41" s="108"/>
      <c r="Q41" s="108"/>
      <c r="R41" s="108"/>
    </row>
    <row r="42" spans="1:18" x14ac:dyDescent="0.25">
      <c r="A42" s="108"/>
      <c r="B42" s="117"/>
      <c r="C42" s="117"/>
      <c r="D42" s="117"/>
      <c r="E42" s="117"/>
      <c r="F42" s="117"/>
      <c r="G42" s="117"/>
      <c r="H42" s="117"/>
      <c r="I42" s="108"/>
      <c r="J42" s="108"/>
      <c r="K42" s="108"/>
      <c r="L42" s="108"/>
      <c r="M42" s="108"/>
      <c r="N42" s="108"/>
      <c r="O42" s="109"/>
      <c r="P42" s="108"/>
      <c r="Q42" s="108"/>
      <c r="R42" s="108"/>
    </row>
    <row r="43" spans="1:18" x14ac:dyDescent="0.25">
      <c r="A43" s="108"/>
      <c r="B43" s="117"/>
      <c r="C43" s="117"/>
      <c r="D43" s="117"/>
      <c r="E43" s="117"/>
      <c r="F43" s="117"/>
      <c r="G43" s="117"/>
      <c r="H43" s="117"/>
      <c r="I43" s="108"/>
      <c r="J43" s="108"/>
      <c r="K43" s="108"/>
      <c r="L43" s="108"/>
      <c r="M43" s="108"/>
      <c r="N43" s="108"/>
      <c r="O43" s="109"/>
      <c r="P43" s="108"/>
      <c r="Q43" s="108"/>
      <c r="R43" s="108"/>
    </row>
    <row r="44" spans="1:18" x14ac:dyDescent="0.25">
      <c r="A44" s="108"/>
      <c r="B44" s="117"/>
      <c r="C44" s="117"/>
      <c r="D44" s="117"/>
      <c r="E44" s="117"/>
      <c r="F44" s="117"/>
      <c r="G44" s="117"/>
      <c r="H44" s="117"/>
      <c r="I44" s="108"/>
      <c r="J44" s="108"/>
      <c r="K44" s="108"/>
      <c r="L44" s="108"/>
      <c r="M44" s="108"/>
      <c r="N44" s="108"/>
      <c r="O44" s="109"/>
      <c r="P44" s="108"/>
      <c r="Q44" s="108"/>
      <c r="R44" s="108"/>
    </row>
    <row r="45" spans="1:18" x14ac:dyDescent="0.25">
      <c r="A45" s="108"/>
      <c r="B45" s="117"/>
      <c r="C45" s="117"/>
      <c r="D45" s="117"/>
      <c r="E45" s="117"/>
      <c r="F45" s="117"/>
      <c r="G45" s="117"/>
      <c r="H45" s="117"/>
      <c r="I45" s="114"/>
      <c r="J45" s="114"/>
      <c r="K45" s="114"/>
      <c r="L45" s="114"/>
      <c r="M45" s="114"/>
      <c r="N45" s="114"/>
      <c r="O45" s="109"/>
      <c r="P45" s="114"/>
      <c r="Q45" s="108"/>
      <c r="R45" s="114"/>
    </row>
    <row r="46" spans="1:18" x14ac:dyDescent="0.25">
      <c r="A46" s="108"/>
      <c r="B46" s="117"/>
      <c r="C46" s="117"/>
      <c r="D46" s="117"/>
      <c r="E46" s="117"/>
      <c r="F46" s="117"/>
      <c r="G46" s="117"/>
      <c r="H46" s="117"/>
      <c r="I46" s="108"/>
      <c r="J46" s="108"/>
      <c r="K46" s="108"/>
      <c r="L46" s="108"/>
      <c r="M46" s="108"/>
      <c r="N46" s="108"/>
      <c r="O46" s="109"/>
      <c r="P46" s="108"/>
      <c r="Q46" s="108"/>
      <c r="R46" s="108"/>
    </row>
    <row r="47" spans="1:18" x14ac:dyDescent="0.25">
      <c r="A47" s="108"/>
      <c r="B47" s="117"/>
      <c r="C47" s="117"/>
      <c r="D47" s="117"/>
      <c r="E47" s="117"/>
      <c r="F47" s="117"/>
      <c r="G47" s="117"/>
      <c r="H47" s="117"/>
      <c r="I47" s="108"/>
      <c r="J47" s="108"/>
      <c r="K47" s="108"/>
      <c r="L47" s="108"/>
      <c r="M47" s="108"/>
      <c r="N47" s="108"/>
      <c r="O47" s="109"/>
      <c r="P47" s="108"/>
      <c r="Q47" s="108"/>
      <c r="R47" s="108"/>
    </row>
    <row r="48" spans="1:18" x14ac:dyDescent="0.25">
      <c r="A48" s="108"/>
      <c r="B48" s="117"/>
      <c r="C48" s="117"/>
      <c r="D48" s="117"/>
      <c r="E48" s="117"/>
      <c r="F48" s="117"/>
      <c r="G48" s="117"/>
      <c r="H48" s="117"/>
      <c r="I48" s="108"/>
      <c r="J48" s="108"/>
      <c r="K48" s="108"/>
      <c r="L48" s="108"/>
      <c r="M48" s="108"/>
      <c r="N48" s="108"/>
      <c r="O48" s="109"/>
      <c r="P48" s="108"/>
      <c r="Q48" s="108"/>
      <c r="R48" s="108"/>
    </row>
    <row r="49" spans="1:130" x14ac:dyDescent="0.25">
      <c r="A49" s="108"/>
      <c r="B49" s="117"/>
      <c r="C49" s="117"/>
      <c r="D49" s="117"/>
      <c r="E49" s="117"/>
      <c r="F49" s="117"/>
      <c r="G49" s="117"/>
      <c r="H49" s="117"/>
      <c r="I49" s="108"/>
      <c r="J49" s="108"/>
      <c r="K49" s="108"/>
      <c r="L49" s="108"/>
      <c r="M49" s="108"/>
      <c r="N49" s="108"/>
      <c r="O49" s="109"/>
      <c r="P49" s="108"/>
      <c r="Q49" s="108"/>
      <c r="R49" s="108"/>
    </row>
    <row r="50" spans="1:130" x14ac:dyDescent="0.25">
      <c r="A50" s="108"/>
      <c r="B50" s="117"/>
      <c r="C50" s="117"/>
      <c r="D50" s="117"/>
      <c r="E50" s="117"/>
      <c r="F50" s="117"/>
      <c r="G50" s="117"/>
      <c r="H50" s="117"/>
      <c r="I50" s="108"/>
      <c r="J50" s="108"/>
      <c r="K50" s="108"/>
      <c r="L50" s="108"/>
      <c r="M50" s="108"/>
      <c r="N50" s="108"/>
      <c r="O50" s="109"/>
      <c r="P50" s="108"/>
      <c r="Q50" s="108"/>
      <c r="R50" s="108"/>
    </row>
    <row r="51" spans="1:130" x14ac:dyDescent="0.25">
      <c r="A51" s="108"/>
      <c r="B51" s="117"/>
      <c r="C51" s="117"/>
      <c r="D51" s="117"/>
      <c r="E51" s="117"/>
      <c r="F51" s="117"/>
      <c r="G51" s="117"/>
      <c r="H51" s="117"/>
      <c r="I51" s="108"/>
      <c r="J51" s="108"/>
      <c r="K51" s="108"/>
      <c r="L51" s="108"/>
      <c r="M51" s="108"/>
      <c r="N51" s="108"/>
      <c r="O51" s="109"/>
      <c r="P51" s="108"/>
      <c r="Q51" s="108"/>
      <c r="R51" s="108"/>
    </row>
    <row r="52" spans="1:130" x14ac:dyDescent="0.25">
      <c r="A52" s="108"/>
      <c r="B52" s="117"/>
      <c r="C52" s="117"/>
      <c r="D52" s="117"/>
      <c r="E52" s="117"/>
      <c r="F52" s="117"/>
      <c r="G52" s="117"/>
      <c r="H52" s="117"/>
      <c r="I52" s="108"/>
      <c r="J52" s="108"/>
      <c r="K52" s="108"/>
      <c r="L52" s="108"/>
      <c r="M52" s="108"/>
      <c r="N52" s="108"/>
      <c r="O52" s="109"/>
      <c r="P52" s="108"/>
      <c r="Q52" s="108"/>
      <c r="R52" s="108"/>
    </row>
    <row r="53" spans="1:130" x14ac:dyDescent="0.25">
      <c r="A53" s="108"/>
      <c r="B53" s="117"/>
      <c r="C53" s="117"/>
      <c r="D53" s="117"/>
      <c r="E53" s="117"/>
      <c r="F53" s="117"/>
      <c r="G53" s="117"/>
      <c r="H53" s="117"/>
      <c r="I53" s="108"/>
      <c r="J53" s="108"/>
      <c r="K53" s="108"/>
      <c r="L53" s="108"/>
      <c r="M53" s="108"/>
      <c r="N53" s="108"/>
      <c r="O53" s="109"/>
      <c r="P53" s="108"/>
      <c r="Q53" s="108"/>
      <c r="R53" s="108"/>
    </row>
    <row r="54" spans="1:130" x14ac:dyDescent="0.25">
      <c r="A54" s="108"/>
      <c r="B54" s="117"/>
      <c r="C54" s="117"/>
      <c r="D54" s="117"/>
      <c r="E54" s="117"/>
      <c r="F54" s="117"/>
      <c r="G54" s="117"/>
      <c r="H54" s="117"/>
      <c r="I54" s="108"/>
      <c r="J54" s="108"/>
      <c r="K54" s="108"/>
      <c r="L54" s="108"/>
      <c r="M54" s="108"/>
      <c r="N54" s="108"/>
      <c r="O54" s="109"/>
      <c r="P54" s="108"/>
      <c r="Q54" s="108"/>
      <c r="R54" s="108"/>
    </row>
    <row r="55" spans="1:130" x14ac:dyDescent="0.25">
      <c r="A55" s="108"/>
      <c r="B55" s="117"/>
      <c r="C55" s="117"/>
      <c r="D55" s="117"/>
      <c r="E55" s="117"/>
      <c r="F55" s="117"/>
      <c r="G55" s="117"/>
      <c r="H55" s="117"/>
      <c r="I55" s="108"/>
      <c r="J55" s="108"/>
      <c r="K55" s="108"/>
      <c r="L55" s="108"/>
      <c r="M55" s="108"/>
      <c r="N55" s="108"/>
      <c r="O55" s="109"/>
      <c r="P55" s="108"/>
      <c r="Q55" s="108"/>
      <c r="R55" s="108"/>
    </row>
    <row r="56" spans="1:130" x14ac:dyDescent="0.25">
      <c r="A56" s="108"/>
      <c r="B56" s="117"/>
      <c r="C56" s="117"/>
      <c r="D56" s="117"/>
      <c r="E56" s="117"/>
      <c r="F56" s="117"/>
      <c r="G56" s="117"/>
      <c r="H56" s="117"/>
      <c r="I56" s="108"/>
      <c r="J56" s="108"/>
      <c r="K56" s="108"/>
      <c r="L56" s="108"/>
      <c r="M56" s="108"/>
      <c r="N56" s="108"/>
      <c r="O56" s="109"/>
      <c r="P56" s="108"/>
      <c r="Q56" s="108"/>
      <c r="R56" s="108"/>
    </row>
    <row r="57" spans="1:130" x14ac:dyDescent="0.25">
      <c r="A57" s="108"/>
      <c r="B57" s="117"/>
      <c r="C57" s="117"/>
      <c r="D57" s="117"/>
      <c r="E57" s="117"/>
      <c r="F57" s="117"/>
      <c r="G57" s="117"/>
      <c r="H57" s="117"/>
      <c r="I57" s="108"/>
      <c r="J57" s="108"/>
      <c r="K57" s="108"/>
      <c r="L57" s="108"/>
      <c r="M57" s="108"/>
      <c r="N57" s="108"/>
      <c r="O57" s="109"/>
      <c r="P57" s="108"/>
      <c r="Q57" s="108"/>
      <c r="R57" s="108"/>
    </row>
    <row r="58" spans="1:130" x14ac:dyDescent="0.25">
      <c r="A58" s="108"/>
      <c r="B58" s="117"/>
      <c r="C58" s="117"/>
      <c r="D58" s="117"/>
      <c r="E58" s="117"/>
      <c r="F58" s="117"/>
      <c r="G58" s="117"/>
      <c r="H58" s="117"/>
      <c r="I58" s="108"/>
      <c r="J58" s="108"/>
      <c r="K58" s="108"/>
      <c r="L58" s="108"/>
      <c r="M58" s="108"/>
      <c r="N58" s="108"/>
      <c r="O58" s="109"/>
      <c r="P58" s="108"/>
      <c r="Q58" s="108"/>
      <c r="R58" s="108"/>
    </row>
    <row r="59" spans="1:130" x14ac:dyDescent="0.25">
      <c r="A59" s="108"/>
      <c r="B59" s="108"/>
      <c r="G59" s="108"/>
      <c r="H59" s="108"/>
      <c r="I59" s="108"/>
      <c r="J59" s="108"/>
      <c r="K59" s="108"/>
      <c r="L59" s="108"/>
      <c r="M59" s="108"/>
      <c r="N59" s="108"/>
      <c r="O59" s="109"/>
      <c r="P59" s="108"/>
      <c r="Q59" s="108"/>
      <c r="R59" s="108"/>
    </row>
    <row r="60" spans="1:130" x14ac:dyDescent="0.25">
      <c r="A60" s="108"/>
      <c r="B60" s="108"/>
      <c r="C60" s="108"/>
      <c r="D60" s="108"/>
      <c r="E60" s="108"/>
      <c r="F60" s="108"/>
      <c r="G60" s="108"/>
      <c r="H60" s="108"/>
      <c r="I60" s="108"/>
      <c r="J60" s="108"/>
      <c r="K60" s="108"/>
      <c r="L60" s="108"/>
      <c r="M60" s="108"/>
      <c r="N60" s="108"/>
      <c r="O60" s="109"/>
      <c r="P60" s="108"/>
      <c r="Q60" s="108"/>
      <c r="R60" s="108"/>
    </row>
    <row r="61" spans="1:130" x14ac:dyDescent="0.25">
      <c r="A61" s="108"/>
      <c r="B61" s="108"/>
      <c r="C61" s="108"/>
      <c r="D61" s="108"/>
      <c r="E61" s="108"/>
      <c r="F61" s="108"/>
      <c r="G61" s="108"/>
      <c r="H61" s="108"/>
      <c r="I61" s="108"/>
      <c r="J61" s="108"/>
      <c r="K61" s="108"/>
      <c r="L61" s="108"/>
      <c r="M61" s="108"/>
      <c r="N61" s="108"/>
      <c r="O61" s="109"/>
      <c r="P61" s="108"/>
      <c r="Q61" s="108"/>
      <c r="R61" s="108"/>
    </row>
    <row r="62" spans="1:130" x14ac:dyDescent="0.25">
      <c r="A62" s="108"/>
      <c r="B62" s="108"/>
      <c r="C62" s="108"/>
      <c r="D62" s="108"/>
      <c r="E62" s="108"/>
      <c r="F62" s="108"/>
      <c r="G62" s="108"/>
      <c r="H62" s="108"/>
      <c r="I62" s="108"/>
      <c r="J62" s="108"/>
      <c r="K62" s="108"/>
      <c r="L62" s="108"/>
      <c r="M62" s="108"/>
      <c r="N62" s="108"/>
      <c r="O62" s="109"/>
      <c r="P62" s="108"/>
      <c r="Q62" s="108"/>
      <c r="R62" s="108"/>
    </row>
    <row r="63" spans="1:130" x14ac:dyDescent="0.25">
      <c r="A63" s="108"/>
      <c r="B63" s="108"/>
      <c r="C63" s="108"/>
      <c r="D63" s="108"/>
      <c r="E63" s="108"/>
      <c r="F63" s="108"/>
      <c r="G63" s="108"/>
      <c r="H63" s="108"/>
      <c r="I63" s="108"/>
      <c r="J63" s="108"/>
      <c r="K63" s="108"/>
      <c r="L63" s="108"/>
      <c r="M63" s="108"/>
      <c r="N63" s="108"/>
      <c r="O63" s="109"/>
      <c r="P63" s="108"/>
      <c r="Q63" s="108"/>
      <c r="R63" s="108"/>
    </row>
    <row r="64" spans="1:130" s="34" customFormat="1" x14ac:dyDescent="0.25">
      <c r="A64" s="31"/>
      <c r="B64" s="31"/>
      <c r="C64" s="31"/>
      <c r="D64" s="31"/>
      <c r="E64" s="31"/>
      <c r="F64" s="31"/>
      <c r="G64" s="31"/>
      <c r="H64" s="31"/>
      <c r="I64" s="31"/>
      <c r="J64" s="31"/>
      <c r="K64" s="31"/>
      <c r="L64" s="31"/>
      <c r="M64" s="31"/>
      <c r="N64" s="31"/>
      <c r="O64" s="31"/>
      <c r="P64" s="31"/>
      <c r="Q64" s="31"/>
      <c r="R64" s="31"/>
      <c r="S64" s="31"/>
      <c r="T64" s="32"/>
      <c r="U64" s="32"/>
      <c r="V64" s="32"/>
      <c r="W64" s="32"/>
      <c r="X64" s="32"/>
      <c r="Y64" s="32"/>
      <c r="Z64" s="32"/>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row>
    <row r="65" spans="1:18" x14ac:dyDescent="0.25">
      <c r="A65" s="108"/>
      <c r="B65" s="108"/>
      <c r="C65" s="108"/>
      <c r="D65" s="108"/>
      <c r="E65" s="108"/>
      <c r="F65" s="108"/>
      <c r="G65" s="108"/>
      <c r="H65" s="108"/>
      <c r="I65" s="108"/>
      <c r="J65" s="108"/>
      <c r="K65" s="108"/>
      <c r="L65" s="108"/>
      <c r="M65" s="108"/>
      <c r="N65" s="108"/>
      <c r="O65" s="108"/>
      <c r="P65" s="108"/>
      <c r="Q65" s="108"/>
      <c r="R65" s="108"/>
    </row>
    <row r="66" spans="1:18" x14ac:dyDescent="0.25">
      <c r="A66" s="108"/>
      <c r="B66" s="108"/>
      <c r="C66" s="108"/>
      <c r="D66" s="108"/>
      <c r="E66" s="108"/>
      <c r="F66" s="108"/>
      <c r="G66" s="108"/>
      <c r="H66" s="108"/>
      <c r="I66" s="108"/>
      <c r="J66" s="108"/>
      <c r="K66" s="108"/>
      <c r="L66" s="108"/>
      <c r="M66" s="108"/>
      <c r="N66" s="108"/>
      <c r="O66" s="108"/>
      <c r="P66" s="108"/>
      <c r="Q66" s="108"/>
      <c r="R66" s="108"/>
    </row>
    <row r="67" spans="1:18" x14ac:dyDescent="0.25">
      <c r="A67" s="108"/>
      <c r="B67" s="108"/>
      <c r="C67" s="108"/>
      <c r="D67" s="108"/>
      <c r="E67" s="108"/>
      <c r="F67" s="108"/>
      <c r="G67" s="108"/>
      <c r="H67" s="108"/>
      <c r="I67" s="108"/>
      <c r="J67" s="108"/>
      <c r="K67" s="108"/>
      <c r="L67" s="108"/>
      <c r="M67" s="108"/>
      <c r="N67" s="108"/>
      <c r="O67" s="108"/>
      <c r="P67" s="108"/>
      <c r="Q67" s="108"/>
      <c r="R67" s="108"/>
    </row>
    <row r="68" spans="1:18" x14ac:dyDescent="0.25">
      <c r="A68" s="108"/>
      <c r="B68" s="108"/>
      <c r="C68" s="108"/>
      <c r="D68" s="108"/>
      <c r="E68" s="108"/>
      <c r="F68" s="108"/>
      <c r="G68" s="108"/>
      <c r="H68" s="108"/>
      <c r="I68" s="108"/>
      <c r="J68" s="108"/>
      <c r="K68" s="108"/>
      <c r="L68" s="108"/>
      <c r="M68" s="108"/>
      <c r="N68" s="108"/>
      <c r="O68" s="108"/>
      <c r="P68" s="108"/>
      <c r="Q68" s="108"/>
      <c r="R68" s="108"/>
    </row>
    <row r="69" spans="1:18" x14ac:dyDescent="0.25">
      <c r="A69" s="108"/>
      <c r="B69" s="108"/>
      <c r="C69" s="108"/>
      <c r="D69" s="108"/>
      <c r="E69" s="108"/>
      <c r="F69" s="108"/>
      <c r="G69" s="108"/>
      <c r="H69" s="108"/>
      <c r="I69" s="108"/>
      <c r="J69" s="108"/>
      <c r="K69" s="108"/>
      <c r="L69" s="108"/>
      <c r="M69" s="108"/>
      <c r="N69" s="108"/>
      <c r="O69" s="108"/>
      <c r="P69" s="108"/>
      <c r="Q69" s="108"/>
      <c r="R69" s="108"/>
    </row>
    <row r="70" spans="1:18" x14ac:dyDescent="0.25">
      <c r="A70" s="108"/>
      <c r="B70" s="108"/>
      <c r="C70" s="108"/>
      <c r="D70" s="108"/>
      <c r="E70" s="108"/>
      <c r="F70" s="108"/>
      <c r="G70" s="108"/>
      <c r="H70" s="108"/>
      <c r="I70" s="108"/>
      <c r="J70" s="108"/>
      <c r="K70" s="108"/>
      <c r="L70" s="108"/>
      <c r="M70" s="108"/>
      <c r="N70" s="108"/>
      <c r="O70" s="108"/>
      <c r="P70" s="108"/>
      <c r="Q70" s="108"/>
      <c r="R70" s="108"/>
    </row>
    <row r="71" spans="1:18" ht="21" customHeight="1" x14ac:dyDescent="0.25">
      <c r="A71" s="108"/>
      <c r="B71" s="108"/>
      <c r="C71" s="108"/>
      <c r="D71" s="108"/>
      <c r="E71" s="108"/>
      <c r="F71" s="108"/>
      <c r="G71" s="108"/>
      <c r="H71" s="108"/>
      <c r="I71" s="108"/>
    </row>
    <row r="72" spans="1:18" x14ac:dyDescent="0.25">
      <c r="A72" s="108"/>
      <c r="B72" s="108"/>
      <c r="C72" s="108"/>
      <c r="D72" s="108"/>
      <c r="E72" s="108"/>
      <c r="F72" s="108"/>
      <c r="G72" s="108"/>
      <c r="H72" s="108"/>
      <c r="I72" s="108"/>
    </row>
    <row r="73" spans="1:18" x14ac:dyDescent="0.25">
      <c r="A73" s="108"/>
      <c r="B73" s="108"/>
      <c r="C73" s="108"/>
      <c r="D73" s="108"/>
      <c r="E73" s="108"/>
      <c r="F73" s="108"/>
      <c r="G73" s="108"/>
      <c r="H73" s="108"/>
      <c r="I73" s="108"/>
    </row>
    <row r="74" spans="1:18" ht="6.75" customHeight="1" x14ac:dyDescent="0.25">
      <c r="A74" s="108"/>
      <c r="B74" s="108"/>
      <c r="C74" s="108"/>
      <c r="D74" s="108"/>
      <c r="E74" s="108"/>
      <c r="F74" s="108"/>
      <c r="G74" s="108"/>
      <c r="H74" s="108"/>
      <c r="I74" s="108"/>
    </row>
    <row r="75" spans="1:18" x14ac:dyDescent="0.25">
      <c r="A75" s="108"/>
      <c r="B75" s="108"/>
      <c r="C75" s="108"/>
      <c r="D75" s="108"/>
      <c r="E75" s="108"/>
      <c r="F75" s="108"/>
      <c r="G75" s="108"/>
      <c r="H75" s="108"/>
      <c r="I75" s="108"/>
    </row>
    <row r="76" spans="1:18" x14ac:dyDescent="0.25">
      <c r="A76" s="108"/>
      <c r="B76" s="108"/>
      <c r="C76" s="108"/>
      <c r="D76" s="108"/>
      <c r="E76" s="108"/>
      <c r="F76" s="108"/>
      <c r="G76" s="108"/>
      <c r="H76" s="108"/>
      <c r="I76" s="108"/>
    </row>
    <row r="77" spans="1:18" x14ac:dyDescent="0.25">
      <c r="A77" s="108"/>
      <c r="B77" s="108"/>
      <c r="C77" s="108"/>
      <c r="D77" s="108"/>
      <c r="E77" s="108"/>
      <c r="F77" s="108"/>
      <c r="G77" s="108"/>
      <c r="H77" s="108"/>
      <c r="I77" s="108"/>
    </row>
    <row r="78" spans="1:18" x14ac:dyDescent="0.25">
      <c r="A78" s="108"/>
      <c r="B78" s="108"/>
      <c r="C78" s="108"/>
      <c r="D78" s="108"/>
      <c r="E78" s="108"/>
      <c r="F78" s="108"/>
      <c r="G78" s="108"/>
      <c r="H78" s="108"/>
      <c r="I78" s="108"/>
    </row>
    <row r="79" spans="1:18" x14ac:dyDescent="0.25">
      <c r="A79" s="108"/>
      <c r="B79" s="108"/>
      <c r="C79" s="108"/>
      <c r="D79" s="108"/>
      <c r="E79" s="108"/>
      <c r="F79" s="108"/>
      <c r="G79" s="108"/>
      <c r="H79" s="108"/>
      <c r="I79" s="108"/>
    </row>
    <row r="80" spans="1:18" x14ac:dyDescent="0.25">
      <c r="A80" s="108"/>
      <c r="B80" s="108"/>
      <c r="C80" s="108"/>
      <c r="D80" s="108"/>
      <c r="E80" s="108"/>
      <c r="F80" s="108"/>
      <c r="G80" s="108"/>
      <c r="H80" s="108"/>
      <c r="I80" s="108"/>
    </row>
    <row r="81" spans="1:9" x14ac:dyDescent="0.25">
      <c r="A81" s="108"/>
      <c r="B81" s="108"/>
      <c r="C81" s="108"/>
      <c r="D81" s="108"/>
      <c r="E81" s="108"/>
      <c r="F81" s="108"/>
      <c r="G81" s="108"/>
      <c r="H81" s="108"/>
      <c r="I81" s="108"/>
    </row>
    <row r="82" spans="1:9" x14ac:dyDescent="0.25">
      <c r="A82" s="108"/>
      <c r="B82" s="108"/>
      <c r="C82" s="108"/>
      <c r="D82" s="108"/>
      <c r="E82" s="108"/>
      <c r="F82" s="108"/>
      <c r="G82" s="108"/>
      <c r="H82" s="108"/>
      <c r="I82" s="108"/>
    </row>
    <row r="83" spans="1:9" x14ac:dyDescent="0.25">
      <c r="A83" s="108"/>
      <c r="B83" s="108"/>
      <c r="C83" s="108"/>
      <c r="D83" s="108"/>
      <c r="E83" s="108"/>
      <c r="F83" s="108"/>
      <c r="G83" s="108"/>
      <c r="H83" s="108"/>
      <c r="I83" s="108"/>
    </row>
    <row r="84" spans="1:9" x14ac:dyDescent="0.25">
      <c r="A84" s="108"/>
      <c r="B84" s="108"/>
      <c r="C84" s="108"/>
      <c r="D84" s="108"/>
      <c r="E84" s="108"/>
      <c r="F84" s="108"/>
      <c r="G84" s="108"/>
      <c r="H84" s="108"/>
      <c r="I84" s="108"/>
    </row>
    <row r="85" spans="1:9" x14ac:dyDescent="0.25">
      <c r="A85" s="108"/>
      <c r="B85" s="108"/>
      <c r="C85" s="108"/>
      <c r="D85" s="108"/>
      <c r="E85" s="108"/>
      <c r="F85" s="108"/>
      <c r="G85" s="108"/>
      <c r="H85" s="108"/>
      <c r="I85" s="108"/>
    </row>
    <row r="86" spans="1:9" x14ac:dyDescent="0.25">
      <c r="A86" s="108"/>
      <c r="B86" s="108"/>
      <c r="C86" s="108"/>
      <c r="D86" s="108"/>
      <c r="E86" s="108"/>
      <c r="F86" s="108"/>
      <c r="G86" s="108"/>
      <c r="H86" s="108"/>
      <c r="I86" s="108"/>
    </row>
    <row r="87" spans="1:9" x14ac:dyDescent="0.25">
      <c r="B87" s="109"/>
      <c r="C87" s="109"/>
      <c r="D87" s="109"/>
      <c r="E87" s="109"/>
      <c r="F87" s="109"/>
      <c r="G87" s="109"/>
      <c r="H87" s="109"/>
      <c r="I87" s="108"/>
    </row>
    <row r="88" spans="1:9" x14ac:dyDescent="0.25">
      <c r="B88" s="109"/>
      <c r="C88" s="109"/>
      <c r="D88" s="109"/>
      <c r="E88" s="109"/>
      <c r="F88" s="109"/>
      <c r="G88" s="109"/>
      <c r="H88" s="109"/>
      <c r="I88" s="108"/>
    </row>
    <row r="89" spans="1:9" x14ac:dyDescent="0.25">
      <c r="B89" s="109"/>
      <c r="C89" s="109"/>
      <c r="D89" s="109"/>
      <c r="E89" s="109"/>
      <c r="F89" s="109"/>
      <c r="G89" s="109"/>
      <c r="H89" s="109"/>
      <c r="I89" s="108"/>
    </row>
    <row r="90" spans="1:9" x14ac:dyDescent="0.25">
      <c r="B90" s="109"/>
      <c r="C90" s="109"/>
      <c r="D90" s="109"/>
      <c r="E90" s="109"/>
      <c r="F90" s="109"/>
      <c r="G90" s="109"/>
      <c r="H90" s="109"/>
      <c r="I90" s="108"/>
    </row>
    <row r="91" spans="1:9" x14ac:dyDescent="0.25">
      <c r="B91" s="109"/>
      <c r="C91" s="109"/>
      <c r="D91" s="109"/>
      <c r="E91" s="109"/>
      <c r="F91" s="109"/>
      <c r="G91" s="109"/>
      <c r="H91" s="109"/>
      <c r="I91" s="108"/>
    </row>
    <row r="92" spans="1:9" x14ac:dyDescent="0.25">
      <c r="B92" s="109"/>
      <c r="C92" s="109"/>
      <c r="D92" s="109"/>
      <c r="E92" s="109"/>
      <c r="F92" s="109"/>
      <c r="G92" s="109"/>
      <c r="H92" s="109"/>
      <c r="I92" s="108"/>
    </row>
    <row r="93" spans="1:9" ht="6" customHeight="1" x14ac:dyDescent="0.25">
      <c r="B93" s="109"/>
      <c r="C93" s="109"/>
      <c r="D93" s="109"/>
      <c r="E93" s="109"/>
      <c r="F93" s="109"/>
      <c r="G93" s="109"/>
      <c r="H93" s="109"/>
      <c r="I93" s="108"/>
    </row>
    <row r="94" spans="1:9" x14ac:dyDescent="0.25">
      <c r="B94" s="109"/>
      <c r="C94" s="109"/>
      <c r="D94" s="109"/>
      <c r="E94" s="109"/>
      <c r="F94" s="109"/>
      <c r="G94" s="109"/>
      <c r="H94" s="109"/>
      <c r="I94" s="108"/>
    </row>
    <row r="95" spans="1:9" x14ac:dyDescent="0.25">
      <c r="B95" s="109"/>
      <c r="C95" s="109"/>
      <c r="D95" s="109"/>
      <c r="E95" s="109"/>
      <c r="F95" s="109"/>
      <c r="G95" s="109"/>
      <c r="H95" s="109"/>
      <c r="I95" s="108"/>
    </row>
    <row r="96" spans="1:9" x14ac:dyDescent="0.25">
      <c r="B96" s="109"/>
      <c r="C96" s="109"/>
      <c r="D96" s="109"/>
      <c r="E96" s="109"/>
      <c r="F96" s="109"/>
      <c r="G96" s="109"/>
      <c r="H96" s="109"/>
      <c r="I96" s="108"/>
    </row>
    <row r="97" spans="2:9" x14ac:dyDescent="0.25">
      <c r="B97" s="109"/>
      <c r="C97" s="109"/>
      <c r="D97" s="109"/>
      <c r="E97" s="109"/>
      <c r="F97" s="109"/>
      <c r="G97" s="109"/>
      <c r="H97" s="109"/>
      <c r="I97" s="108"/>
    </row>
    <row r="98" spans="2:9" x14ac:dyDescent="0.25">
      <c r="B98" s="109"/>
      <c r="C98" s="109"/>
      <c r="D98" s="109"/>
      <c r="E98" s="109"/>
      <c r="F98" s="109"/>
      <c r="G98" s="109"/>
      <c r="H98" s="109"/>
      <c r="I98" s="109"/>
    </row>
    <row r="99" spans="2:9" x14ac:dyDescent="0.25">
      <c r="B99" s="109"/>
      <c r="C99" s="109"/>
      <c r="D99" s="109"/>
      <c r="E99" s="109"/>
      <c r="F99" s="109"/>
      <c r="G99" s="109"/>
      <c r="H99" s="109"/>
      <c r="I99" s="109"/>
    </row>
    <row r="100" spans="2:9" x14ac:dyDescent="0.25">
      <c r="B100" s="109"/>
      <c r="C100" s="109"/>
      <c r="D100" s="109"/>
      <c r="E100" s="109"/>
      <c r="F100" s="109"/>
      <c r="G100" s="109"/>
      <c r="H100" s="109"/>
      <c r="I100" s="109"/>
    </row>
    <row r="101" spans="2:9" x14ac:dyDescent="0.25">
      <c r="B101" s="109"/>
      <c r="C101" s="109"/>
      <c r="D101" s="109"/>
      <c r="E101" s="109"/>
      <c r="F101" s="109"/>
      <c r="G101" s="109"/>
      <c r="H101" s="109"/>
      <c r="I101" s="109"/>
    </row>
    <row r="102" spans="2:9" x14ac:dyDescent="0.25">
      <c r="B102" s="109"/>
      <c r="C102" s="109"/>
      <c r="D102" s="109"/>
      <c r="E102" s="109"/>
      <c r="F102" s="109"/>
      <c r="G102" s="109"/>
      <c r="H102" s="109"/>
      <c r="I102" s="109"/>
    </row>
    <row r="103" spans="2:9" x14ac:dyDescent="0.25">
      <c r="B103" s="109"/>
      <c r="C103" s="109"/>
      <c r="D103" s="109"/>
      <c r="E103" s="109"/>
      <c r="F103" s="109"/>
      <c r="G103" s="109"/>
      <c r="H103" s="109"/>
      <c r="I103" s="109"/>
    </row>
    <row r="104" spans="2:9" x14ac:dyDescent="0.25">
      <c r="B104" s="109"/>
      <c r="C104" s="109"/>
      <c r="D104" s="109"/>
      <c r="E104" s="109"/>
      <c r="F104" s="109"/>
      <c r="G104" s="109"/>
      <c r="H104" s="109"/>
      <c r="I104" s="109"/>
    </row>
    <row r="126" ht="12.75" customHeight="1" x14ac:dyDescent="0.25"/>
  </sheetData>
  <sheetProtection algorithmName="SHA-512" hashValue="wDRJItaC4zXauuV+Ruh8HDKa7kl9gbpEgiHJ/Jvfi822PQQErEtXyMuWoDsvDKIGutJnOzlv+agRdF7/dDoU8g==" saltValue="l7ruGzt7onGXEG5sFJc4EQ==" spinCount="100000" sheet="1" objects="1" scenarios="1"/>
  <mergeCells count="2">
    <mergeCell ref="B4:H4"/>
    <mergeCell ref="B6:H6"/>
  </mergeCells>
  <conditionalFormatting sqref="B10:H58">
    <cfRule type="expression" dxfId="13" priority="2">
      <formula>ISBLANK($B9)</formula>
    </cfRule>
  </conditionalFormatting>
  <conditionalFormatting sqref="E9:G58">
    <cfRule type="expression" dxfId="12" priority="1">
      <formula>$C9="Coordinate axis"</formula>
    </cfRule>
  </conditionalFormatting>
  <dataValidations count="1">
    <dataValidation type="list" allowBlank="1" showInputMessage="1" showErrorMessage="1" sqref="C9:C58" xr:uid="{AF94049E-D6FB-4173-8C0A-1623CB747E67}">
      <formula1>"Fixed axis,Bearing axis,Coordinate axis"</formula1>
    </dataValidation>
  </dataValidations>
  <printOptions horizontalCentered="1"/>
  <pageMargins left="0.25" right="0.25" top="0.75" bottom="0.75" header="0.3" footer="0.3"/>
  <pageSetup paperSize="9" scale="61" orientation="portrait" r:id="rId1"/>
  <headerFooter>
    <oddFooter xml:space="preserve">&amp;L&amp;"Consolas,Regular"&amp;9&amp;K00-049Developed by Engr. Muhammad Bayoumi Ali | E-mail: muhammad.bayoumi.ali@gmail.com | LinkedIn: linkedin.com/in/muhammad-bayoumi-ali </oddFooter>
  </headerFooter>
  <rowBreaks count="2" manualBreakCount="2">
    <brk id="116" max="17" man="1"/>
    <brk id="187" max="17" man="1"/>
  </rowBreak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B1F8A03-4BFC-454D-A73C-0C39EADFF4A7}">
          <x14:formula1>
            <xm:f>'(02) Superstructure Data'!$B$9:$B$18</xm:f>
          </x14:formula1>
          <xm:sqref>H9:H58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B403-D21B-47D1-8A47-D36C9143C9F7}">
  <sheetPr codeName="Sheet5">
    <tabColor theme="0" tint="-4.9989318521683403E-2"/>
    <pageSetUpPr fitToPage="1"/>
  </sheetPr>
  <dimension ref="A2:DY70"/>
  <sheetViews>
    <sheetView view="pageBreakPreview" zoomScale="85" zoomScaleNormal="100" zoomScaleSheetLayoutView="85" workbookViewId="0">
      <selection activeCell="G6" sqref="G6"/>
    </sheetView>
  </sheetViews>
  <sheetFormatPr defaultColWidth="12.7109375" defaultRowHeight="15" x14ac:dyDescent="0.25"/>
  <cols>
    <col min="1" max="2" width="3.140625" style="4" customWidth="1"/>
    <col min="3" max="3" width="6.28515625" style="4" customWidth="1"/>
    <col min="4" max="4" width="8.42578125" style="4" customWidth="1"/>
    <col min="5" max="5" width="12.85546875" style="4" customWidth="1"/>
    <col min="6" max="6" width="9.85546875" style="4" customWidth="1"/>
    <col min="7" max="7" width="11.85546875" style="4" bestFit="1" customWidth="1"/>
    <col min="8" max="8" width="10.28515625" style="4" bestFit="1" customWidth="1"/>
    <col min="9" max="9" width="15.85546875" style="4" bestFit="1" customWidth="1"/>
    <col min="10" max="10" width="13.140625" style="4" customWidth="1"/>
    <col min="11" max="11" width="10.42578125" style="4" customWidth="1"/>
    <col min="12" max="12" width="14.140625" style="4" customWidth="1"/>
    <col min="13" max="14" width="13.140625" style="4" customWidth="1"/>
    <col min="15" max="15" width="14.5703125" style="4" customWidth="1"/>
    <col min="16" max="16" width="17.28515625" style="4" customWidth="1"/>
    <col min="17" max="17" width="13.42578125" style="4" customWidth="1"/>
    <col min="18" max="18" width="21.28515625" style="4" customWidth="1"/>
    <col min="19" max="19" width="15.42578125" style="4" customWidth="1"/>
    <col min="20" max="20" width="10.7109375" style="4" customWidth="1"/>
    <col min="21" max="21" width="15.7109375" style="4" customWidth="1"/>
    <col min="22" max="22" width="12.7109375" style="4"/>
    <col min="23" max="23" width="15" style="4" customWidth="1"/>
    <col min="24" max="24" width="14.5703125" style="4" customWidth="1"/>
    <col min="25" max="25" width="9.28515625" style="4" bestFit="1" customWidth="1"/>
    <col min="26" max="26" width="2.42578125" style="4" customWidth="1"/>
    <col min="27" max="16384" width="12.7109375" style="4"/>
  </cols>
  <sheetData>
    <row r="2" spans="2:25" x14ac:dyDescent="0.25">
      <c r="R2" s="2"/>
      <c r="S2" s="328"/>
      <c r="T2" s="328"/>
    </row>
    <row r="3" spans="2:25" ht="3.75" customHeight="1" x14ac:dyDescent="0.25">
      <c r="R3" s="2"/>
      <c r="S3" s="3"/>
      <c r="T3" s="3"/>
    </row>
    <row r="4" spans="2:25" ht="47.1" customHeight="1" x14ac:dyDescent="0.25">
      <c r="B4" s="329" t="s">
        <v>170</v>
      </c>
      <c r="C4" s="330"/>
      <c r="D4" s="330"/>
      <c r="E4" s="330"/>
      <c r="F4" s="330"/>
      <c r="G4" s="330"/>
      <c r="H4" s="330"/>
      <c r="I4" s="330"/>
      <c r="J4" s="330"/>
      <c r="K4" s="330"/>
      <c r="L4" s="330"/>
      <c r="M4" s="330"/>
      <c r="N4" s="330"/>
      <c r="O4" s="330"/>
      <c r="P4" s="330"/>
      <c r="Q4" s="330"/>
      <c r="R4" s="330"/>
      <c r="S4" s="330"/>
      <c r="T4" s="330"/>
      <c r="U4" s="330"/>
      <c r="V4" s="330"/>
      <c r="W4" s="330"/>
      <c r="X4" s="330"/>
      <c r="Y4" s="331"/>
    </row>
    <row r="5" spans="2:25" s="14" customFormat="1" x14ac:dyDescent="0.2">
      <c r="D5" s="90"/>
      <c r="E5" s="90"/>
      <c r="F5" s="90"/>
      <c r="G5" s="90"/>
      <c r="H5" s="90"/>
    </row>
    <row r="6" spans="2:25" s="1" customFormat="1" ht="6.75" customHeight="1" x14ac:dyDescent="0.25">
      <c r="G6" s="4"/>
    </row>
    <row r="7" spans="2:25" s="10" customFormat="1" ht="45" customHeight="1" x14ac:dyDescent="0.25">
      <c r="B7" s="17" t="s">
        <v>35</v>
      </c>
      <c r="C7" s="17" t="s">
        <v>164</v>
      </c>
      <c r="D7" s="17" t="s">
        <v>14</v>
      </c>
      <c r="E7" s="17" t="s">
        <v>24</v>
      </c>
      <c r="F7" s="17" t="s">
        <v>62</v>
      </c>
      <c r="G7" s="17" t="s">
        <v>61</v>
      </c>
      <c r="H7" s="17" t="s">
        <v>57</v>
      </c>
      <c r="I7" s="17" t="s">
        <v>32</v>
      </c>
      <c r="J7" s="17" t="s">
        <v>63</v>
      </c>
      <c r="K7" s="17" t="s">
        <v>29</v>
      </c>
      <c r="L7" s="17" t="s">
        <v>31</v>
      </c>
      <c r="M7" s="17" t="s">
        <v>165</v>
      </c>
      <c r="N7" s="17" t="s">
        <v>65</v>
      </c>
      <c r="O7" s="17" t="s">
        <v>27</v>
      </c>
      <c r="P7" s="17" t="s">
        <v>28</v>
      </c>
      <c r="Q7" s="17" t="s">
        <v>42</v>
      </c>
      <c r="R7" s="17" t="s">
        <v>43</v>
      </c>
      <c r="S7" s="17" t="s">
        <v>64</v>
      </c>
      <c r="T7" s="17" t="s">
        <v>44</v>
      </c>
      <c r="U7" s="17" t="s">
        <v>46</v>
      </c>
      <c r="V7" s="17" t="s">
        <v>41</v>
      </c>
      <c r="W7" s="84" t="s">
        <v>160</v>
      </c>
      <c r="X7" s="84" t="s">
        <v>161</v>
      </c>
      <c r="Y7" s="85" t="s">
        <v>162</v>
      </c>
    </row>
    <row r="8" spans="2:25" s="1" customFormat="1" ht="15" customHeight="1" x14ac:dyDescent="0.2">
      <c r="B8" s="18">
        <f>COUNT($B$7:B7)+1</f>
        <v>1</v>
      </c>
      <c r="C8" s="19" t="str" cm="1">
        <f t="array" ref="C8">IF(INDEX(AXIS_DATA[Axis], B8)=0,"",INDEX(AXIS_DATA[Axis], B8))</f>
        <v>A1</v>
      </c>
      <c r="D8" s="20">
        <f>IFERROR(VLOOKUP(Level_Verification_Calculations[[#This Row],[Axis]],AXIS_DATA[],MATCH(Level_Verification_Calculations[[#Headers],[Station]],AXIS_DATA[#Headers],0),FALSE),"")</f>
        <v>953.63499999999999</v>
      </c>
      <c r="E8" s="20" cm="1">
        <f t="array" ref="E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633.7305023515728</v>
      </c>
      <c r="F8" s="16" cm="1">
        <f t="array" ref="F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8" s="16" t="str">
        <f>IFERROR(VLOOKUP(Level_Verification_Calculations[[#This Row],[Segment Number]],PROFILE_DATA[],MATCH(Level_Verification_Calculations[[#Headers],[Segment Type]],PROFILE_DATA[#Headers],0),FALSE),"")</f>
        <v>Straight</v>
      </c>
      <c r="H8" s="16" t="str">
        <f>IFERROR(VLOOKUP(Level_Verification_Calculations[[#This Row],[Axis]],AXIS_DATA[],MATCH(Level_Verification_Calculations[[#Headers],[Section]],AXIS_DATA[#Headers],0),FALSE),"")</f>
        <v>Abutment</v>
      </c>
      <c r="I8" s="16">
        <f>IFERROR(VLOOKUP(Level_Verification_Calculations[[#This Row],[Section]],SECTION_DATA[],MATCH(Level_Verification_Calculations[[#Headers],[Alignment-Structure Axis Offset]],SECTION_DATA[#Headers],0),0),"")</f>
        <v>3.25</v>
      </c>
      <c r="J8" s="16">
        <f>IFERROR(VLOOKUP(Level_Verification_Calculations[[#This Row],[Section]],SECTION_DATA[],MATCH(Level_Verification_Calculations[[#Headers],[Superelevation (e%)]],SECTION_DATA[#Headers],0),0),"")</f>
        <v>5.6000000000000001E-2</v>
      </c>
      <c r="K8" s="16">
        <f>IFERROR(VLOOKUP(Level_Verification_Calculations[[#This Row],[Section]],SECTION_DATA[],MATCH(Level_Verification_Calculations[[#Headers],[Asphalt Thickness]],SECTION_DATA[#Headers],0),0),"")</f>
        <v>0.06</v>
      </c>
      <c r="L8" s="16">
        <f>IFERROR(VLOOKUP(Level_Verification_Calculations[[#This Row],[Section]],SECTION_DATA[],2,FALSE)*Level_Verification_Calculations[[#This Row],[Superelevation (e%)]]+Level_Verification_Calculations[[#This Row],[Alignment Elevation]]-VLOOKUP(Level_Verification_Calculations[[#This Row],[Section]],SECTION_DATA[],4,FALSE),"")</f>
        <v>633.85250235157287</v>
      </c>
      <c r="M8" s="16" t="str">
        <f>IFERROR(VLOOKUP(Level_Verification_Calculations[[#This Row],[Axis]],AXIS_DATA[],MATCH(Level_Verification_Calculations[[#Headers],[Axis Type]],AXIS_DATA[#Headers],0),FALSE),"")</f>
        <v>Bearing axis</v>
      </c>
      <c r="N8" s="16">
        <f>IFERROR(IF(Level_Verification_Calculations[[#This Row],[Axis Type]]="Fixed axis",0,VLOOKUP(Level_Verification_Calculations[[#This Row],[Section]],SECTION_DATA[],MATCH(Level_Verification_Calculations[[#Headers],[Bearing Height]],SECTION_DATA[#Headers],0),FALSE)),"")</f>
        <v>0.4</v>
      </c>
      <c r="O8" s="16">
        <f>IFERROR(VLOOKUP(Level_Verification_Calculations[[#This Row],[Axis]],AXIS_DATA[],MATCH(Level_Verification_Calculations[[#Headers],[Foundation Level]],AXIS_DATA[#Headers],0),FALSE),"")</f>
        <v>624.34699999999998</v>
      </c>
      <c r="P8" s="16">
        <f>IFERROR(VLOOKUP(Level_Verification_Calculations[[#This Row],[Axis]],AXIS_DATA[],MATCH(Level_Verification_Calculations[[#Headers],[Foundation Depth]],AXIS_DATA[#Headers],0),FALSE),"")</f>
        <v>1.5</v>
      </c>
      <c r="Q8" s="16">
        <f>IFERROR(Level_Verification_Calculations[[#This Row],[Foundation Level]]+Level_Verification_Calculations[[#This Row],[Foundation Depth]],"")</f>
        <v>625.84699999999998</v>
      </c>
      <c r="R8" s="21">
        <f>IFERROR(VLOOKUP(Level_Verification_Calculations[[#This Row],[Axis]],AXIS_DATA[],MATCH(Level_Verification_Calculations[[#Headers],[Pier Height (IFC DWG)]],AXIS_DATA[#Headers],0),FALSE),"")</f>
        <v>6.1050000000000004</v>
      </c>
      <c r="S8" s="16">
        <f>IFERROR(VLOOKUP(Level_Verification_Calculations[[#This Row],[Section]],SECTION_DATA[],MATCH(Level_Verification_Calculations[[#Headers],[Superstructure Depth]],SECTION_DATA[#Headers],0),FALSE),"")</f>
        <v>1.5</v>
      </c>
      <c r="T8" s="16">
        <f>IFERROR(Level_Verification_Calculations[[#This Row],[Structure Elevation]]-Level_Verification_Calculations[[#This Row],[Superstructure Depth]]-Level_Verification_Calculations[[#This Row],[Bearing Height]],"")</f>
        <v>631.95250235157289</v>
      </c>
      <c r="U8" s="21">
        <f>IFERROR(Level_Verification_Calculations[[#This Row],[Pier Elevation]]-Level_Verification_Calculations[[#This Row],[Top of Foundation Concrete]],"")</f>
        <v>6.105502351572909</v>
      </c>
      <c r="V8" s="21">
        <f>IFERROR(Level_Verification_Calculations[[#This Row],[Pier Height (IFC DWG)]]-Level_Verification_Calculations[[#This Row],[Pier Height (Calculated)]],"")</f>
        <v>-5.0235157290856591E-4</v>
      </c>
      <c r="W8" s="83">
        <f>IF(Level_Verification_Calculations[[#This Row],[Axis]]="","",IFERROR(VLOOKUP(Level_Verification_Calculations[[#This Row],[Axis]],COORDINATE_DATA[],MATCH(Level_Verification_Calculations[[#Headers],[Axis Center
X Coordinate]],COORDINATE_DATA[#Headers],0),FALSE),""))</f>
        <v>676509.34</v>
      </c>
      <c r="X8" s="83">
        <f>IF(Level_Verification_Calculations[[#This Row],[Axis]]="","",IFERROR(VLOOKUP(Level_Verification_Calculations[[#This Row],[Axis]],COORDINATE_DATA[],MATCH(Level_Verification_Calculations[[#Headers],[Axis Center
Y Coordinate]],COORDINATE_DATA[#Headers],0),FALSE),""))</f>
        <v>2705107.926</v>
      </c>
      <c r="Y8" s="83">
        <f>IF(Level_Verification_Calculations[[#This Row],[Axis]]="","",IFERROR(VLOOKUP(Level_Verification_Calculations[[#This Row],[Axis]],COORDINATE_DATA[],MATCH(Level_Verification_Calculations[[#Headers],[θ]],COORDINATE_DATA[#Headers],0),FALSE),""))</f>
        <v>27.472000000000001</v>
      </c>
    </row>
    <row r="9" spans="2:25" s="1" customFormat="1" ht="15" customHeight="1" x14ac:dyDescent="0.2">
      <c r="B9" s="18">
        <f>COUNT($B$7:B8)+1</f>
        <v>2</v>
      </c>
      <c r="C9" s="19" t="str" cm="1">
        <f t="array" ref="C9">IF(INDEX(AXIS_DATA[Axis], B9)=0,"",INDEX(AXIS_DATA[Axis], B9))</f>
        <v>P1</v>
      </c>
      <c r="D9" s="20">
        <f>IFERROR(VLOOKUP(Level_Verification_Calculations[[#This Row],[Axis]],AXIS_DATA[],MATCH(Level_Verification_Calculations[[#Headers],[Station]],AXIS_DATA[#Headers],0),FALSE),"")</f>
        <v>975.36900000000003</v>
      </c>
      <c r="E9" s="20" cm="1">
        <f t="array" ref="E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633.839177847173</v>
      </c>
      <c r="F9" s="16" cm="1">
        <f t="array" ref="F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9" s="16" t="str">
        <f>IFERROR(VLOOKUP(Level_Verification_Calculations[[#This Row],[Segment Number]],PROFILE_DATA[],MATCH(Level_Verification_Calculations[[#Headers],[Segment Type]],PROFILE_DATA[#Headers],0),FALSE),"")</f>
        <v>Straight</v>
      </c>
      <c r="H9" s="16" t="str">
        <f>IFERROR(VLOOKUP(Level_Verification_Calculations[[#This Row],[Axis]],AXIS_DATA[],MATCH(Level_Verification_Calculations[[#Headers],[Section]],AXIS_DATA[#Headers],0),FALSE),"")</f>
        <v>Bearing Pier</v>
      </c>
      <c r="I9" s="16">
        <f>IFERROR(VLOOKUP(Level_Verification_Calculations[[#This Row],[Section]],SECTION_DATA[],MATCH(Level_Verification_Calculations[[#Headers],[Alignment-Structure Axis Offset]],SECTION_DATA[#Headers],0),0),"")</f>
        <v>3.25</v>
      </c>
      <c r="J9" s="16">
        <f>IFERROR(VLOOKUP(Level_Verification_Calculations[[#This Row],[Section]],SECTION_DATA[],MATCH(Level_Verification_Calculations[[#Headers],[Superelevation (e%)]],SECTION_DATA[#Headers],0),0),"")</f>
        <v>5.6000000000000001E-2</v>
      </c>
      <c r="K9" s="16">
        <f>IFERROR(VLOOKUP(Level_Verification_Calculations[[#This Row],[Section]],SECTION_DATA[],MATCH(Level_Verification_Calculations[[#Headers],[Asphalt Thickness]],SECTION_DATA[#Headers],0),0),"")</f>
        <v>0.06</v>
      </c>
      <c r="L9" s="16">
        <f>IFERROR(VLOOKUP(Level_Verification_Calculations[[#This Row],[Section]],SECTION_DATA[],2,FALSE)*Level_Verification_Calculations[[#This Row],[Superelevation (e%)]]+Level_Verification_Calculations[[#This Row],[Alignment Elevation]]-VLOOKUP(Level_Verification_Calculations[[#This Row],[Section]],SECTION_DATA[],4,FALSE),"")</f>
        <v>633.96117784717308</v>
      </c>
      <c r="M9" s="16" t="str">
        <f>IFERROR(VLOOKUP(Level_Verification_Calculations[[#This Row],[Axis]],AXIS_DATA[],MATCH(Level_Verification_Calculations[[#Headers],[Axis Type]],AXIS_DATA[#Headers],0),FALSE),"")</f>
        <v>Bearing axis</v>
      </c>
      <c r="N9" s="16">
        <f>IFERROR(IF(Level_Verification_Calculations[[#This Row],[Axis Type]]="Fixed axis",0,VLOOKUP(Level_Verification_Calculations[[#This Row],[Section]],SECTION_DATA[],MATCH(Level_Verification_Calculations[[#Headers],[Bearing Height]],SECTION_DATA[#Headers],0),FALSE)),"")</f>
        <v>0.4</v>
      </c>
      <c r="O9" s="16">
        <f>IFERROR(VLOOKUP(Level_Verification_Calculations[[#This Row],[Axis]],AXIS_DATA[],MATCH(Level_Verification_Calculations[[#Headers],[Foundation Level]],AXIS_DATA[#Headers],0),FALSE),"")</f>
        <v>621.66100000000006</v>
      </c>
      <c r="P9" s="16">
        <f>IFERROR(VLOOKUP(Level_Verification_Calculations[[#This Row],[Axis]],AXIS_DATA[],MATCH(Level_Verification_Calculations[[#Headers],[Foundation Depth]],AXIS_DATA[#Headers],0),FALSE),"")</f>
        <v>1.4</v>
      </c>
      <c r="Q9" s="16">
        <f>IFERROR(Level_Verification_Calculations[[#This Row],[Foundation Level]]+Level_Verification_Calculations[[#This Row],[Foundation Depth]],"")</f>
        <v>623.06100000000004</v>
      </c>
      <c r="R9" s="21">
        <f>IFERROR(VLOOKUP(Level_Verification_Calculations[[#This Row],[Axis]],AXIS_DATA[],MATCH(Level_Verification_Calculations[[#Headers],[Pier Height (IFC DWG)]],AXIS_DATA[#Headers],0),FALSE),"")</f>
        <v>9</v>
      </c>
      <c r="S9" s="16">
        <f>IFERROR(VLOOKUP(Level_Verification_Calculations[[#This Row],[Section]],SECTION_DATA[],MATCH(Level_Verification_Calculations[[#Headers],[Superstructure Depth]],SECTION_DATA[#Headers],0),FALSE),"")</f>
        <v>1.5</v>
      </c>
      <c r="T9" s="16">
        <f>IFERROR(Level_Verification_Calculations[[#This Row],[Structure Elevation]]-Level_Verification_Calculations[[#This Row],[Superstructure Depth]]-Level_Verification_Calculations[[#This Row],[Bearing Height]],"")</f>
        <v>632.0611778471731</v>
      </c>
      <c r="U9" s="21">
        <f>IFERROR(Level_Verification_Calculations[[#This Row],[Pier Elevation]]-Level_Verification_Calculations[[#This Row],[Top of Foundation Concrete]],"")</f>
        <v>9.0001778471730631</v>
      </c>
      <c r="V9" s="21">
        <f>IFERROR(Level_Verification_Calculations[[#This Row],[Pier Height (IFC DWG)]]-Level_Verification_Calculations[[#This Row],[Pier Height (Calculated)]],"")</f>
        <v>-1.7784717306312814E-4</v>
      </c>
      <c r="W9" s="83">
        <f>IF(Level_Verification_Calculations[[#This Row],[Axis]]="","",IFERROR(VLOOKUP(Level_Verification_Calculations[[#This Row],[Axis]],COORDINATE_DATA[],MATCH(Level_Verification_Calculations[[#Headers],[Axis Center
X Coordinate]],COORDINATE_DATA[#Headers],0),FALSE),""))</f>
        <v>676520.27800000005</v>
      </c>
      <c r="X9" s="83">
        <f>IF(Level_Verification_Calculations[[#This Row],[Axis]]="","",IFERROR(VLOOKUP(Level_Verification_Calculations[[#This Row],[Axis]],COORDINATE_DATA[],MATCH(Level_Verification_Calculations[[#Headers],[Axis Center
Y Coordinate]],COORDINATE_DATA[#Headers],0),FALSE),""))</f>
        <v>2705088.8450000002</v>
      </c>
      <c r="Y9" s="83">
        <f>IF(Level_Verification_Calculations[[#This Row],[Axis]]="","",IFERROR(VLOOKUP(Level_Verification_Calculations[[#This Row],[Axis]],COORDINATE_DATA[],MATCH(Level_Verification_Calculations[[#Headers],[θ]],COORDINATE_DATA[#Headers],0),FALSE),""))</f>
        <v>32.170999999999999</v>
      </c>
    </row>
    <row r="10" spans="2:25" s="1" customFormat="1" ht="15" customHeight="1" x14ac:dyDescent="0.2">
      <c r="B10" s="18">
        <f>COUNT($B$7:B9)+1</f>
        <v>3</v>
      </c>
      <c r="C10" s="19" t="str" cm="1">
        <f t="array" ref="C10">IF(INDEX(AXIS_DATA[Axis], B10)=0,"",INDEX(AXIS_DATA[Axis], B10))</f>
        <v>P2</v>
      </c>
      <c r="D10" s="20">
        <f>IFERROR(VLOOKUP(Level_Verification_Calculations[[#This Row],[Axis]],AXIS_DATA[],MATCH(Level_Verification_Calculations[[#Headers],[Station]],AXIS_DATA[#Headers],0),FALSE),"")</f>
        <v>999.07799999999997</v>
      </c>
      <c r="E10" s="20" cm="1">
        <f t="array" ref="E1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633.95772884216649</v>
      </c>
      <c r="F10" s="16" cm="1">
        <f t="array" ref="F1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0" s="16" t="str">
        <f>IFERROR(VLOOKUP(Level_Verification_Calculations[[#This Row],[Segment Number]],PROFILE_DATA[],MATCH(Level_Verification_Calculations[[#Headers],[Segment Type]],PROFILE_DATA[#Headers],0),FALSE),"")</f>
        <v>Straight</v>
      </c>
      <c r="H10" s="16" t="str">
        <f>IFERROR(VLOOKUP(Level_Verification_Calculations[[#This Row],[Axis]],AXIS_DATA[],MATCH(Level_Verification_Calculations[[#Headers],[Section]],AXIS_DATA[#Headers],0),FALSE),"")</f>
        <v>Bearing Pier</v>
      </c>
      <c r="I10" s="16">
        <f>IFERROR(VLOOKUP(Level_Verification_Calculations[[#This Row],[Section]],SECTION_DATA[],MATCH(Level_Verification_Calculations[[#Headers],[Alignment-Structure Axis Offset]],SECTION_DATA[#Headers],0),0),"")</f>
        <v>3.25</v>
      </c>
      <c r="J10" s="16">
        <f>IFERROR(VLOOKUP(Level_Verification_Calculations[[#This Row],[Section]],SECTION_DATA[],MATCH(Level_Verification_Calculations[[#Headers],[Superelevation (e%)]],SECTION_DATA[#Headers],0),0),"")</f>
        <v>5.6000000000000001E-2</v>
      </c>
      <c r="K10" s="16">
        <f>IFERROR(VLOOKUP(Level_Verification_Calculations[[#This Row],[Section]],SECTION_DATA[],MATCH(Level_Verification_Calculations[[#Headers],[Asphalt Thickness]],SECTION_DATA[#Headers],0),0),"")</f>
        <v>0.06</v>
      </c>
      <c r="L10" s="16">
        <f>IFERROR(VLOOKUP(Level_Verification_Calculations[[#This Row],[Section]],SECTION_DATA[],2,FALSE)*Level_Verification_Calculations[[#This Row],[Superelevation (e%)]]+Level_Verification_Calculations[[#This Row],[Alignment Elevation]]-VLOOKUP(Level_Verification_Calculations[[#This Row],[Section]],SECTION_DATA[],4,FALSE),"")</f>
        <v>634.07972884216656</v>
      </c>
      <c r="M10" s="16" t="str">
        <f>IFERROR(VLOOKUP(Level_Verification_Calculations[[#This Row],[Axis]],AXIS_DATA[],MATCH(Level_Verification_Calculations[[#Headers],[Axis Type]],AXIS_DATA[#Headers],0),FALSE),"")</f>
        <v>Bearing axis</v>
      </c>
      <c r="N10" s="16">
        <f>IFERROR(IF(Level_Verification_Calculations[[#This Row],[Axis Type]]="Fixed axis",0,VLOOKUP(Level_Verification_Calculations[[#This Row],[Section]],SECTION_DATA[],MATCH(Level_Verification_Calculations[[#Headers],[Bearing Height]],SECTION_DATA[#Headers],0),FALSE)),"")</f>
        <v>0.4</v>
      </c>
      <c r="O10" s="16">
        <f>IFERROR(VLOOKUP(Level_Verification_Calculations[[#This Row],[Axis]],AXIS_DATA[],MATCH(Level_Verification_Calculations[[#Headers],[Foundation Level]],AXIS_DATA[#Headers],0),FALSE),"")</f>
        <v>621.779</v>
      </c>
      <c r="P10" s="16">
        <f>IFERROR(VLOOKUP(Level_Verification_Calculations[[#This Row],[Axis]],AXIS_DATA[],MATCH(Level_Verification_Calculations[[#Headers],[Foundation Depth]],AXIS_DATA[#Headers],0),FALSE),"")</f>
        <v>1.4</v>
      </c>
      <c r="Q10" s="16">
        <f>IFERROR(Level_Verification_Calculations[[#This Row],[Foundation Level]]+Level_Verification_Calculations[[#This Row],[Foundation Depth]],"")</f>
        <v>623.17899999999997</v>
      </c>
      <c r="R10" s="21">
        <f>IFERROR(VLOOKUP(Level_Verification_Calculations[[#This Row],[Axis]],AXIS_DATA[],MATCH(Level_Verification_Calculations[[#Headers],[Pier Height (IFC DWG)]],AXIS_DATA[#Headers],0),FALSE),"")</f>
        <v>9</v>
      </c>
      <c r="S10" s="16">
        <f>IFERROR(VLOOKUP(Level_Verification_Calculations[[#This Row],[Section]],SECTION_DATA[],MATCH(Level_Verification_Calculations[[#Headers],[Superstructure Depth]],SECTION_DATA[#Headers],0),FALSE),"")</f>
        <v>1.5</v>
      </c>
      <c r="T10" s="16">
        <f>IFERROR(Level_Verification_Calculations[[#This Row],[Structure Elevation]]-Level_Verification_Calculations[[#This Row],[Superstructure Depth]]-Level_Verification_Calculations[[#This Row],[Bearing Height]],"")</f>
        <v>632.17972884216658</v>
      </c>
      <c r="U10" s="21">
        <f>IFERROR(Level_Verification_Calculations[[#This Row],[Pier Elevation]]-Level_Verification_Calculations[[#This Row],[Top of Foundation Concrete]],"")</f>
        <v>9.000728842166609</v>
      </c>
      <c r="V10" s="21">
        <f>IFERROR(Level_Verification_Calculations[[#This Row],[Pier Height (IFC DWG)]]-Level_Verification_Calculations[[#This Row],[Pier Height (Calculated)]],"")</f>
        <v>-7.2884216660895618E-4</v>
      </c>
      <c r="W10" s="83">
        <f>IF(Level_Verification_Calculations[[#This Row],[Axis]]="","",IFERROR(VLOOKUP(Level_Verification_Calculations[[#This Row],[Axis]],COORDINATE_DATA[],MATCH(Level_Verification_Calculations[[#Headers],[Axis Center
X Coordinate]],COORDINATE_DATA[#Headers],0),FALSE),""))</f>
        <v>676533.94700000004</v>
      </c>
      <c r="X10" s="83">
        <f>IF(Level_Verification_Calculations[[#This Row],[Axis]]="","",IFERROR(VLOOKUP(Level_Verification_Calculations[[#This Row],[Axis]],COORDINATE_DATA[],MATCH(Level_Verification_Calculations[[#Headers],[Axis Center
Y Coordinate]],COORDINATE_DATA[#Headers],0),FALSE),""))</f>
        <v>2705069.128</v>
      </c>
      <c r="Y10" s="83">
        <f>IF(Level_Verification_Calculations[[#This Row],[Axis]]="","",IFERROR(VLOOKUP(Level_Verification_Calculations[[#This Row],[Axis]],COORDINATE_DATA[],MATCH(Level_Verification_Calculations[[#Headers],[θ]],COORDINATE_DATA[#Headers],0),FALSE),""))</f>
        <v>37.296999999999997</v>
      </c>
    </row>
    <row r="11" spans="2:25" s="1" customFormat="1" ht="15" customHeight="1" x14ac:dyDescent="0.2">
      <c r="B11" s="18">
        <f>COUNT($B$7:B10)+1</f>
        <v>4</v>
      </c>
      <c r="C11" s="19" t="str" cm="1">
        <f t="array" ref="C11">IF(INDEX(AXIS_DATA[Axis], B11)=0,"",INDEX(AXIS_DATA[Axis], B11))</f>
        <v>P3</v>
      </c>
      <c r="D11" s="20">
        <f>IFERROR(VLOOKUP(Level_Verification_Calculations[[#This Row],[Axis]],AXIS_DATA[],MATCH(Level_Verification_Calculations[[#Headers],[Station]],AXIS_DATA[#Headers],0),FALSE),"")</f>
        <v>1026.739</v>
      </c>
      <c r="E11" s="20" cm="1">
        <f t="array" ref="E1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634.09604083645195</v>
      </c>
      <c r="F11" s="16" cm="1">
        <f t="array" ref="F1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1" s="16" t="str">
        <f>IFERROR(VLOOKUP(Level_Verification_Calculations[[#This Row],[Segment Number]],PROFILE_DATA[],MATCH(Level_Verification_Calculations[[#Headers],[Segment Type]],PROFILE_DATA[#Headers],0),FALSE),"")</f>
        <v>Straight</v>
      </c>
      <c r="H11" s="16" t="str">
        <f>IFERROR(VLOOKUP(Level_Verification_Calculations[[#This Row],[Axis]],AXIS_DATA[],MATCH(Level_Verification_Calculations[[#Headers],[Section]],AXIS_DATA[#Headers],0),FALSE),"")</f>
        <v>Fixed Pier</v>
      </c>
      <c r="I11" s="16">
        <f>IFERROR(VLOOKUP(Level_Verification_Calculations[[#This Row],[Section]],SECTION_DATA[],MATCH(Level_Verification_Calculations[[#Headers],[Alignment-Structure Axis Offset]],SECTION_DATA[#Headers],0),0),"")</f>
        <v>3.25</v>
      </c>
      <c r="J11" s="16">
        <f>IFERROR(VLOOKUP(Level_Verification_Calculations[[#This Row],[Section]],SECTION_DATA[],MATCH(Level_Verification_Calculations[[#Headers],[Superelevation (e%)]],SECTION_DATA[#Headers],0),0),"")</f>
        <v>5.6000000000000001E-2</v>
      </c>
      <c r="K11" s="16">
        <f>IFERROR(VLOOKUP(Level_Verification_Calculations[[#This Row],[Section]],SECTION_DATA[],MATCH(Level_Verification_Calculations[[#Headers],[Asphalt Thickness]],SECTION_DATA[#Headers],0),0),"")</f>
        <v>0.06</v>
      </c>
      <c r="L11" s="16">
        <f>IFERROR(VLOOKUP(Level_Verification_Calculations[[#This Row],[Section]],SECTION_DATA[],2,FALSE)*Level_Verification_Calculations[[#This Row],[Superelevation (e%)]]+Level_Verification_Calculations[[#This Row],[Alignment Elevation]]-VLOOKUP(Level_Verification_Calculations[[#This Row],[Section]],SECTION_DATA[],4,FALSE),"")</f>
        <v>634.21804083645202</v>
      </c>
      <c r="M11" s="16" t="str">
        <f>IFERROR(VLOOKUP(Level_Verification_Calculations[[#This Row],[Axis]],AXIS_DATA[],MATCH(Level_Verification_Calculations[[#Headers],[Axis Type]],AXIS_DATA[#Headers],0),FALSE),"")</f>
        <v>Fixed axis</v>
      </c>
      <c r="N11" s="16">
        <f>IFERROR(IF(Level_Verification_Calculations[[#This Row],[Axis Type]]="Fixed axis",0,VLOOKUP(Level_Verification_Calculations[[#This Row],[Section]],SECTION_DATA[],MATCH(Level_Verification_Calculations[[#Headers],[Bearing Height]],SECTION_DATA[#Headers],0),FALSE)),"")</f>
        <v>0</v>
      </c>
      <c r="O11" s="16">
        <f>IFERROR(VLOOKUP(Level_Verification_Calculations[[#This Row],[Axis]],AXIS_DATA[],MATCH(Level_Verification_Calculations[[#Headers],[Foundation Level]],AXIS_DATA[#Headers],0),FALSE),"")</f>
        <v>622.31799999999998</v>
      </c>
      <c r="P11" s="16">
        <f>IFERROR(VLOOKUP(Level_Verification_Calculations[[#This Row],[Axis]],AXIS_DATA[],MATCH(Level_Verification_Calculations[[#Headers],[Foundation Depth]],AXIS_DATA[#Headers],0),FALSE),"")</f>
        <v>1.4</v>
      </c>
      <c r="Q11" s="16">
        <f>IFERROR(Level_Verification_Calculations[[#This Row],[Foundation Level]]+Level_Verification_Calculations[[#This Row],[Foundation Depth]],"")</f>
        <v>623.71799999999996</v>
      </c>
      <c r="R11" s="21">
        <f>IFERROR(VLOOKUP(Level_Verification_Calculations[[#This Row],[Axis]],AXIS_DATA[],MATCH(Level_Verification_Calculations[[#Headers],[Pier Height (IFC DWG)]],AXIS_DATA[#Headers],0),FALSE),"")</f>
        <v>9</v>
      </c>
      <c r="S11" s="16">
        <f>IFERROR(VLOOKUP(Level_Verification_Calculations[[#This Row],[Section]],SECTION_DATA[],MATCH(Level_Verification_Calculations[[#Headers],[Superstructure Depth]],SECTION_DATA[#Headers],0),FALSE),"")</f>
        <v>1.5</v>
      </c>
      <c r="T11" s="16">
        <f>IFERROR(Level_Verification_Calculations[[#This Row],[Structure Elevation]]-Level_Verification_Calculations[[#This Row],[Superstructure Depth]]-Level_Verification_Calculations[[#This Row],[Bearing Height]],"")</f>
        <v>632.71804083645202</v>
      </c>
      <c r="U11" s="21">
        <f>IFERROR(Level_Verification_Calculations[[#This Row],[Pier Elevation]]-Level_Verification_Calculations[[#This Row],[Top of Foundation Concrete]],"")</f>
        <v>9.0000408364520581</v>
      </c>
      <c r="V11" s="21">
        <f>IFERROR(Level_Verification_Calculations[[#This Row],[Pier Height (IFC DWG)]]-Level_Verification_Calculations[[#This Row],[Pier Height (Calculated)]],"")</f>
        <v>-4.0836452058101713E-5</v>
      </c>
      <c r="W11" s="83">
        <f>IF(Level_Verification_Calculations[[#This Row],[Axis]]="","",IFERROR(VLOOKUP(Level_Verification_Calculations[[#This Row],[Axis]],COORDINATE_DATA[],MATCH(Level_Verification_Calculations[[#Headers],[Axis Center
X Coordinate]],COORDINATE_DATA[#Headers],0),FALSE),""))</f>
        <v>676552.04399999999</v>
      </c>
      <c r="X11" s="83">
        <f>IF(Level_Verification_Calculations[[#This Row],[Axis]]="","",IFERROR(VLOOKUP(Level_Verification_Calculations[[#This Row],[Axis]],COORDINATE_DATA[],MATCH(Level_Verification_Calculations[[#Headers],[Axis Center
Y Coordinate]],COORDINATE_DATA[#Headers],0),FALSE),""))</f>
        <v>2705047.7790000001</v>
      </c>
      <c r="Y11" s="83">
        <f>IF(Level_Verification_Calculations[[#This Row],[Axis]]="","",IFERROR(VLOOKUP(Level_Verification_Calculations[[#This Row],[Axis]],COORDINATE_DATA[],MATCH(Level_Verification_Calculations[[#Headers],[θ]],COORDINATE_DATA[#Headers],0),FALSE),""))</f>
        <v>43.277000000000001</v>
      </c>
    </row>
    <row r="12" spans="2:25" s="1" customFormat="1" ht="15" customHeight="1" x14ac:dyDescent="0.2">
      <c r="B12" s="18">
        <f>COUNT($B$7:B11)+1</f>
        <v>5</v>
      </c>
      <c r="C12" s="19" t="str" cm="1">
        <f t="array" ref="C12">IF(INDEX(AXIS_DATA[Axis], B12)=0,"",INDEX(AXIS_DATA[Axis], B12))</f>
        <v>P4</v>
      </c>
      <c r="D12" s="20">
        <f>IFERROR(VLOOKUP(Level_Verification_Calculations[[#This Row],[Axis]],AXIS_DATA[],MATCH(Level_Verification_Calculations[[#Headers],[Station]],AXIS_DATA[#Headers],0),FALSE),"")</f>
        <v>1048.472</v>
      </c>
      <c r="E12" s="20" cm="1">
        <f t="array" ref="E1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634.20471133179933</v>
      </c>
      <c r="F12" s="16" cm="1">
        <f t="array" ref="F1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2" s="16" t="str">
        <f>IFERROR(VLOOKUP(Level_Verification_Calculations[[#This Row],[Segment Number]],PROFILE_DATA[],MATCH(Level_Verification_Calculations[[#Headers],[Segment Type]],PROFILE_DATA[#Headers],0),FALSE),"")</f>
        <v>Straight</v>
      </c>
      <c r="H12" s="16" t="str">
        <f>IFERROR(VLOOKUP(Level_Verification_Calculations[[#This Row],[Axis]],AXIS_DATA[],MATCH(Level_Verification_Calculations[[#Headers],[Section]],AXIS_DATA[#Headers],0),FALSE),"")</f>
        <v>Fixed Pier</v>
      </c>
      <c r="I12" s="16">
        <f>IFERROR(VLOOKUP(Level_Verification_Calculations[[#This Row],[Section]],SECTION_DATA[],MATCH(Level_Verification_Calculations[[#Headers],[Alignment-Structure Axis Offset]],SECTION_DATA[#Headers],0),0),"")</f>
        <v>3.25</v>
      </c>
      <c r="J12" s="16">
        <f>IFERROR(VLOOKUP(Level_Verification_Calculations[[#This Row],[Section]],SECTION_DATA[],MATCH(Level_Verification_Calculations[[#Headers],[Superelevation (e%)]],SECTION_DATA[#Headers],0),0),"")</f>
        <v>5.6000000000000001E-2</v>
      </c>
      <c r="K12" s="16">
        <f>IFERROR(VLOOKUP(Level_Verification_Calculations[[#This Row],[Section]],SECTION_DATA[],MATCH(Level_Verification_Calculations[[#Headers],[Asphalt Thickness]],SECTION_DATA[#Headers],0),0),"")</f>
        <v>0.06</v>
      </c>
      <c r="L12" s="16">
        <f>IFERROR(VLOOKUP(Level_Verification_Calculations[[#This Row],[Section]],SECTION_DATA[],2,FALSE)*Level_Verification_Calculations[[#This Row],[Superelevation (e%)]]+Level_Verification_Calculations[[#This Row],[Alignment Elevation]]-VLOOKUP(Level_Verification_Calculations[[#This Row],[Section]],SECTION_DATA[],4,FALSE),"")</f>
        <v>634.3267113317994</v>
      </c>
      <c r="M12" s="16" t="str">
        <f>IFERROR(VLOOKUP(Level_Verification_Calculations[[#This Row],[Axis]],AXIS_DATA[],MATCH(Level_Verification_Calculations[[#Headers],[Axis Type]],AXIS_DATA[#Headers],0),FALSE),"")</f>
        <v>Fixed axis</v>
      </c>
      <c r="N12" s="16">
        <f>IFERROR(IF(Level_Verification_Calculations[[#This Row],[Axis Type]]="Fixed axis",0,VLOOKUP(Level_Verification_Calculations[[#This Row],[Section]],SECTION_DATA[],MATCH(Level_Verification_Calculations[[#Headers],[Bearing Height]],SECTION_DATA[#Headers],0),FALSE)),"")</f>
        <v>0</v>
      </c>
      <c r="O12" s="16">
        <f>IFERROR(VLOOKUP(Level_Verification_Calculations[[#This Row],[Axis]],AXIS_DATA[],MATCH(Level_Verification_Calculations[[#Headers],[Foundation Level]],AXIS_DATA[#Headers],0),FALSE),"")</f>
        <v>622.42600000000004</v>
      </c>
      <c r="P12" s="16">
        <f>IFERROR(VLOOKUP(Level_Verification_Calculations[[#This Row],[Axis]],AXIS_DATA[],MATCH(Level_Verification_Calculations[[#Headers],[Foundation Depth]],AXIS_DATA[#Headers],0),FALSE),"")</f>
        <v>1.4</v>
      </c>
      <c r="Q12" s="16">
        <f>IFERROR(Level_Verification_Calculations[[#This Row],[Foundation Level]]+Level_Verification_Calculations[[#This Row],[Foundation Depth]],"")</f>
        <v>623.82600000000002</v>
      </c>
      <c r="R12" s="21">
        <f>IFERROR(VLOOKUP(Level_Verification_Calculations[[#This Row],[Axis]],AXIS_DATA[],MATCH(Level_Verification_Calculations[[#Headers],[Pier Height (IFC DWG)]],AXIS_DATA[#Headers],0),FALSE),"")</f>
        <v>9</v>
      </c>
      <c r="S12" s="16">
        <f>IFERROR(VLOOKUP(Level_Verification_Calculations[[#This Row],[Section]],SECTION_DATA[],MATCH(Level_Verification_Calculations[[#Headers],[Superstructure Depth]],SECTION_DATA[#Headers],0),FALSE),"")</f>
        <v>1.5</v>
      </c>
      <c r="T12" s="16">
        <f>IFERROR(Level_Verification_Calculations[[#This Row],[Structure Elevation]]-Level_Verification_Calculations[[#This Row],[Superstructure Depth]]-Level_Verification_Calculations[[#This Row],[Bearing Height]],"")</f>
        <v>632.8267113317994</v>
      </c>
      <c r="U12" s="21">
        <f>IFERROR(Level_Verification_Calculations[[#This Row],[Pier Elevation]]-Level_Verification_Calculations[[#This Row],[Top of Foundation Concrete]],"")</f>
        <v>9.0007113317993799</v>
      </c>
      <c r="V12" s="21">
        <f>IFERROR(Level_Verification_Calculations[[#This Row],[Pier Height (IFC DWG)]]-Level_Verification_Calculations[[#This Row],[Pier Height (Calculated)]],"")</f>
        <v>-7.1133179937987734E-4</v>
      </c>
      <c r="W12" s="83">
        <f>IF(Level_Verification_Calculations[[#This Row],[Axis]]="","",IFERROR(VLOOKUP(Level_Verification_Calculations[[#This Row],[Axis]],COORDINATE_DATA[],MATCH(Level_Verification_Calculations[[#Headers],[Axis Center
X Coordinate]],COORDINATE_DATA[#Headers],0),FALSE),""))</f>
        <v>676567.76599999995</v>
      </c>
      <c r="X12" s="83">
        <f>IF(Level_Verification_Calculations[[#This Row],[Axis]]="","",IFERROR(VLOOKUP(Level_Verification_Calculations[[#This Row],[Axis]],COORDINATE_DATA[],MATCH(Level_Verification_Calculations[[#Headers],[Axis Center
Y Coordinate]],COORDINATE_DATA[#Headers],0),FALSE),""))</f>
        <v>2705032.398</v>
      </c>
      <c r="Y12" s="83">
        <f>IF(Level_Verification_Calculations[[#This Row],[Axis]]="","",IFERROR(VLOOKUP(Level_Verification_Calculations[[#This Row],[Axis]],COORDINATE_DATA[],MATCH(Level_Verification_Calculations[[#Headers],[θ]],COORDINATE_DATA[#Headers],0),FALSE),""))</f>
        <v>47.975999999999999</v>
      </c>
    </row>
    <row r="13" spans="2:25" s="1" customFormat="1" ht="15" customHeight="1" x14ac:dyDescent="0.2">
      <c r="B13" s="18">
        <f>COUNT($B$7:B12)+1</f>
        <v>6</v>
      </c>
      <c r="C13" s="19" t="str" cm="1">
        <f t="array" ref="C13">IF(INDEX(AXIS_DATA[Axis], B13)=0,"",INDEX(AXIS_DATA[Axis], B13))</f>
        <v>P5</v>
      </c>
      <c r="D13" s="20">
        <f>IFERROR(VLOOKUP(Level_Verification_Calculations[[#This Row],[Axis]],AXIS_DATA[],MATCH(Level_Verification_Calculations[[#Headers],[Station]],AXIS_DATA[#Headers],0),FALSE),"")</f>
        <v>1076.133</v>
      </c>
      <c r="E13" s="20" cm="1">
        <f t="array" ref="E1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634.34302332608479</v>
      </c>
      <c r="F13" s="16" cm="1">
        <f t="array" ref="F1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3" s="16" t="str">
        <f>IFERROR(VLOOKUP(Level_Verification_Calculations[[#This Row],[Segment Number]],PROFILE_DATA[],MATCH(Level_Verification_Calculations[[#Headers],[Segment Type]],PROFILE_DATA[#Headers],0),FALSE),"")</f>
        <v>Straight</v>
      </c>
      <c r="H13" s="16" t="str">
        <f>IFERROR(VLOOKUP(Level_Verification_Calculations[[#This Row],[Axis]],AXIS_DATA[],MATCH(Level_Verification_Calculations[[#Headers],[Section]],AXIS_DATA[#Headers],0),FALSE),"")</f>
        <v>Bearing Pier</v>
      </c>
      <c r="I13" s="16">
        <f>IFERROR(VLOOKUP(Level_Verification_Calculations[[#This Row],[Section]],SECTION_DATA[],MATCH(Level_Verification_Calculations[[#Headers],[Alignment-Structure Axis Offset]],SECTION_DATA[#Headers],0),0),"")</f>
        <v>3.25</v>
      </c>
      <c r="J13" s="16">
        <f>IFERROR(VLOOKUP(Level_Verification_Calculations[[#This Row],[Section]],SECTION_DATA[],MATCH(Level_Verification_Calculations[[#Headers],[Superelevation (e%)]],SECTION_DATA[#Headers],0),0),"")</f>
        <v>5.6000000000000001E-2</v>
      </c>
      <c r="K13" s="16">
        <f>IFERROR(VLOOKUP(Level_Verification_Calculations[[#This Row],[Section]],SECTION_DATA[],MATCH(Level_Verification_Calculations[[#Headers],[Asphalt Thickness]],SECTION_DATA[#Headers],0),0),"")</f>
        <v>0.06</v>
      </c>
      <c r="L13" s="16">
        <f>IFERROR(VLOOKUP(Level_Verification_Calculations[[#This Row],[Section]],SECTION_DATA[],2,FALSE)*Level_Verification_Calculations[[#This Row],[Superelevation (e%)]]+Level_Verification_Calculations[[#This Row],[Alignment Elevation]]-VLOOKUP(Level_Verification_Calculations[[#This Row],[Section]],SECTION_DATA[],4,FALSE),"")</f>
        <v>634.46502332608486</v>
      </c>
      <c r="M13" s="16" t="str">
        <f>IFERROR(VLOOKUP(Level_Verification_Calculations[[#This Row],[Axis]],AXIS_DATA[],MATCH(Level_Verification_Calculations[[#Headers],[Axis Type]],AXIS_DATA[#Headers],0),FALSE),"")</f>
        <v>Bearing axis</v>
      </c>
      <c r="N13" s="16">
        <f>IFERROR(IF(Level_Verification_Calculations[[#This Row],[Axis Type]]="Fixed axis",0,VLOOKUP(Level_Verification_Calculations[[#This Row],[Section]],SECTION_DATA[],MATCH(Level_Verification_Calculations[[#Headers],[Bearing Height]],SECTION_DATA[#Headers],0),FALSE)),"")</f>
        <v>0.4</v>
      </c>
      <c r="O13" s="16">
        <f>IFERROR(VLOOKUP(Level_Verification_Calculations[[#This Row],[Axis]],AXIS_DATA[],MATCH(Level_Verification_Calculations[[#Headers],[Foundation Level]],AXIS_DATA[#Headers],0),FALSE),"")</f>
        <v>622.16500000000008</v>
      </c>
      <c r="P13" s="16">
        <f>IFERROR(VLOOKUP(Level_Verification_Calculations[[#This Row],[Axis]],AXIS_DATA[],MATCH(Level_Verification_Calculations[[#Headers],[Foundation Depth]],AXIS_DATA[#Headers],0),FALSE),"")</f>
        <v>1.4</v>
      </c>
      <c r="Q13" s="16">
        <f>IFERROR(Level_Verification_Calculations[[#This Row],[Foundation Level]]+Level_Verification_Calculations[[#This Row],[Foundation Depth]],"")</f>
        <v>623.56500000000005</v>
      </c>
      <c r="R13" s="21">
        <f>IFERROR(VLOOKUP(Level_Verification_Calculations[[#This Row],[Axis]],AXIS_DATA[],MATCH(Level_Verification_Calculations[[#Headers],[Pier Height (IFC DWG)]],AXIS_DATA[#Headers],0),FALSE),"")</f>
        <v>9</v>
      </c>
      <c r="S13" s="16">
        <f>IFERROR(VLOOKUP(Level_Verification_Calculations[[#This Row],[Section]],SECTION_DATA[],MATCH(Level_Verification_Calculations[[#Headers],[Superstructure Depth]],SECTION_DATA[#Headers],0),FALSE),"")</f>
        <v>1.5</v>
      </c>
      <c r="T13" s="16">
        <f>IFERROR(Level_Verification_Calculations[[#This Row],[Structure Elevation]]-Level_Verification_Calculations[[#This Row],[Superstructure Depth]]-Level_Verification_Calculations[[#This Row],[Bearing Height]],"")</f>
        <v>632.56502332608488</v>
      </c>
      <c r="U13" s="21">
        <f>IFERROR(Level_Verification_Calculations[[#This Row],[Pier Elevation]]-Level_Verification_Calculations[[#This Row],[Top of Foundation Concrete]],"")</f>
        <v>9.000023326084829</v>
      </c>
      <c r="V13" s="21">
        <f>IFERROR(Level_Verification_Calculations[[#This Row],[Pier Height (IFC DWG)]]-Level_Verification_Calculations[[#This Row],[Pier Height (Calculated)]],"")</f>
        <v>-2.3326084829022875E-5</v>
      </c>
      <c r="W13" s="83">
        <f>IF(Level_Verification_Calculations[[#This Row],[Axis]]="","",IFERROR(VLOOKUP(Level_Verification_Calculations[[#This Row],[Axis]],COORDINATE_DATA[],MATCH(Level_Verification_Calculations[[#Headers],[Axis Center
X Coordinate]],COORDINATE_DATA[#Headers],0),FALSE),""))</f>
        <v>676589.50600000005</v>
      </c>
      <c r="X13" s="83">
        <f>IF(Level_Verification_Calculations[[#This Row],[Axis]]="","",IFERROR(VLOOKUP(Level_Verification_Calculations[[#This Row],[Axis]],COORDINATE_DATA[],MATCH(Level_Verification_Calculations[[#Headers],[Axis Center
Y Coordinate]],COORDINATE_DATA[#Headers],0),FALSE),""))</f>
        <v>2705014.7719999999</v>
      </c>
      <c r="Y13" s="83">
        <f>IF(Level_Verification_Calculations[[#This Row],[Axis]]="","",IFERROR(VLOOKUP(Level_Verification_Calculations[[#This Row],[Axis]],COORDINATE_DATA[],MATCH(Level_Verification_Calculations[[#Headers],[θ]],COORDINATE_DATA[#Headers],0),FALSE),""))</f>
        <v>53.957000000000001</v>
      </c>
    </row>
    <row r="14" spans="2:25" s="1" customFormat="1" ht="15" customHeight="1" x14ac:dyDescent="0.2">
      <c r="B14" s="18">
        <f>COUNT($B$7:B13)+1</f>
        <v>7</v>
      </c>
      <c r="C14" s="19" t="str" cm="1">
        <f t="array" ref="C14">IF(INDEX(AXIS_DATA[Axis], B14)=0,"",INDEX(AXIS_DATA[Axis], B14))</f>
        <v>P6</v>
      </c>
      <c r="D14" s="20">
        <f>IFERROR(VLOOKUP(Level_Verification_Calculations[[#This Row],[Axis]],AXIS_DATA[],MATCH(Level_Verification_Calculations[[#Headers],[Station]],AXIS_DATA[#Headers],0),FALSE),"")</f>
        <v>1099.8420000000001</v>
      </c>
      <c r="E14" s="20" cm="1">
        <f t="array" ref="E1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634.46157432107816</v>
      </c>
      <c r="F14" s="16" cm="1">
        <f t="array" ref="F1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4" s="16" t="str">
        <f>IFERROR(VLOOKUP(Level_Verification_Calculations[[#This Row],[Segment Number]],PROFILE_DATA[],MATCH(Level_Verification_Calculations[[#Headers],[Segment Type]],PROFILE_DATA[#Headers],0),FALSE),"")</f>
        <v>Straight</v>
      </c>
      <c r="H14" s="16" t="str">
        <f>IFERROR(VLOOKUP(Level_Verification_Calculations[[#This Row],[Axis]],AXIS_DATA[],MATCH(Level_Verification_Calculations[[#Headers],[Section]],AXIS_DATA[#Headers],0),FALSE),"")</f>
        <v>Bearing Pier</v>
      </c>
      <c r="I14" s="16">
        <f>IFERROR(VLOOKUP(Level_Verification_Calculations[[#This Row],[Section]],SECTION_DATA[],MATCH(Level_Verification_Calculations[[#Headers],[Alignment-Structure Axis Offset]],SECTION_DATA[#Headers],0),0),"")</f>
        <v>3.25</v>
      </c>
      <c r="J14" s="16">
        <f>IFERROR(VLOOKUP(Level_Verification_Calculations[[#This Row],[Section]],SECTION_DATA[],MATCH(Level_Verification_Calculations[[#Headers],[Superelevation (e%)]],SECTION_DATA[#Headers],0),0),"")</f>
        <v>5.6000000000000001E-2</v>
      </c>
      <c r="K14" s="16">
        <f>IFERROR(VLOOKUP(Level_Verification_Calculations[[#This Row],[Section]],SECTION_DATA[],MATCH(Level_Verification_Calculations[[#Headers],[Asphalt Thickness]],SECTION_DATA[#Headers],0),0),"")</f>
        <v>0.06</v>
      </c>
      <c r="L14" s="16">
        <f>IFERROR(VLOOKUP(Level_Verification_Calculations[[#This Row],[Section]],SECTION_DATA[],2,FALSE)*Level_Verification_Calculations[[#This Row],[Superelevation (e%)]]+Level_Verification_Calculations[[#This Row],[Alignment Elevation]]-VLOOKUP(Level_Verification_Calculations[[#This Row],[Section]],SECTION_DATA[],4,FALSE),"")</f>
        <v>634.58357432107823</v>
      </c>
      <c r="M14" s="16" t="str">
        <f>IFERROR(VLOOKUP(Level_Verification_Calculations[[#This Row],[Axis]],AXIS_DATA[],MATCH(Level_Verification_Calculations[[#Headers],[Axis Type]],AXIS_DATA[#Headers],0),FALSE),"")</f>
        <v>Bearing axis</v>
      </c>
      <c r="N14" s="16">
        <f>IFERROR(IF(Level_Verification_Calculations[[#This Row],[Axis Type]]="Fixed axis",0,VLOOKUP(Level_Verification_Calculations[[#This Row],[Section]],SECTION_DATA[],MATCH(Level_Verification_Calculations[[#Headers],[Bearing Height]],SECTION_DATA[#Headers],0),FALSE)),"")</f>
        <v>0.4</v>
      </c>
      <c r="O14" s="16">
        <f>IFERROR(VLOOKUP(Level_Verification_Calculations[[#This Row],[Axis]],AXIS_DATA[],MATCH(Level_Verification_Calculations[[#Headers],[Foundation Level]],AXIS_DATA[#Headers],0),FALSE),"")</f>
        <v>622.28300000000002</v>
      </c>
      <c r="P14" s="16">
        <f>IFERROR(VLOOKUP(Level_Verification_Calculations[[#This Row],[Axis]],AXIS_DATA[],MATCH(Level_Verification_Calculations[[#Headers],[Foundation Depth]],AXIS_DATA[#Headers],0),FALSE),"")</f>
        <v>1.4</v>
      </c>
      <c r="Q14" s="16">
        <f>IFERROR(Level_Verification_Calculations[[#This Row],[Foundation Level]]+Level_Verification_Calculations[[#This Row],[Foundation Depth]],"")</f>
        <v>623.68299999999999</v>
      </c>
      <c r="R14" s="21">
        <f>IFERROR(VLOOKUP(Level_Verification_Calculations[[#This Row],[Axis]],AXIS_DATA[],MATCH(Level_Verification_Calculations[[#Headers],[Pier Height (IFC DWG)]],AXIS_DATA[#Headers],0),FALSE),"")</f>
        <v>9</v>
      </c>
      <c r="S14" s="16">
        <f>IFERROR(VLOOKUP(Level_Verification_Calculations[[#This Row],[Section]],SECTION_DATA[],MATCH(Level_Verification_Calculations[[#Headers],[Superstructure Depth]],SECTION_DATA[#Headers],0),FALSE),"")</f>
        <v>1.5</v>
      </c>
      <c r="T14" s="16">
        <f>IFERROR(Level_Verification_Calculations[[#This Row],[Structure Elevation]]-Level_Verification_Calculations[[#This Row],[Superstructure Depth]]-Level_Verification_Calculations[[#This Row],[Bearing Height]],"")</f>
        <v>632.68357432107825</v>
      </c>
      <c r="U14" s="21">
        <f>IFERROR(Level_Verification_Calculations[[#This Row],[Pier Elevation]]-Level_Verification_Calculations[[#This Row],[Top of Foundation Concrete]],"")</f>
        <v>9.0005743210782612</v>
      </c>
      <c r="V14" s="21">
        <f>IFERROR(Level_Verification_Calculations[[#This Row],[Pier Height (IFC DWG)]]-Level_Verification_Calculations[[#This Row],[Pier Height (Calculated)]],"")</f>
        <v>-5.7432107826116408E-4</v>
      </c>
      <c r="W14" s="83">
        <f>IF(Level_Verification_Calculations[[#This Row],[Axis]]="","",IFERROR(VLOOKUP(Level_Verification_Calculations[[#This Row],[Axis]],COORDINATE_DATA[],MATCH(Level_Verification_Calculations[[#Headers],[Axis Center
X Coordinate]],COORDINATE_DATA[#Headers],0),FALSE),""))</f>
        <v>676609.51699999999</v>
      </c>
      <c r="X14" s="83">
        <f>IF(Level_Verification_Calculations[[#This Row],[Axis]]="","",IFERROR(VLOOKUP(Level_Verification_Calculations[[#This Row],[Axis]],COORDINATE_DATA[],MATCH(Level_Verification_Calculations[[#Headers],[Axis Center
Y Coordinate]],COORDINATE_DATA[#Headers],0),FALSE),""))</f>
        <v>2705001.537</v>
      </c>
      <c r="Y14" s="83">
        <f>IF(Level_Verification_Calculations[[#This Row],[Axis]]="","",IFERROR(VLOOKUP(Level_Verification_Calculations[[#This Row],[Axis]],COORDINATE_DATA[],MATCH(Level_Verification_Calculations[[#Headers],[θ]],COORDINATE_DATA[#Headers],0),FALSE),""))</f>
        <v>59.082999999999998</v>
      </c>
    </row>
    <row r="15" spans="2:25" s="1" customFormat="1" ht="15" customHeight="1" x14ac:dyDescent="0.2">
      <c r="B15" s="18">
        <f>COUNT($B$7:B14)+1</f>
        <v>8</v>
      </c>
      <c r="C15" s="19" t="str" cm="1">
        <f t="array" ref="C15">IF(INDEX(AXIS_DATA[Axis], B15)=0,"",INDEX(AXIS_DATA[Axis], B15))</f>
        <v>A2</v>
      </c>
      <c r="D15" s="20">
        <f>IFERROR(VLOOKUP(Level_Verification_Calculations[[#This Row],[Axis]],AXIS_DATA[],MATCH(Level_Verification_Calculations[[#Headers],[Station]],AXIS_DATA[#Headers],0),FALSE),"")</f>
        <v>1121.575</v>
      </c>
      <c r="E15" s="20" cm="1">
        <f t="array" ref="E1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634.48860408159999</v>
      </c>
      <c r="F15" s="16" cm="1">
        <f t="array" ref="F1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15" s="16" t="str">
        <f>IFERROR(VLOOKUP(Level_Verification_Calculations[[#This Row],[Segment Number]],PROFILE_DATA[],MATCH(Level_Verification_Calculations[[#Headers],[Segment Type]],PROFILE_DATA[#Headers],0),FALSE),"")</f>
        <v>Vertical Curve</v>
      </c>
      <c r="H15" s="16" t="str">
        <f>IFERROR(VLOOKUP(Level_Verification_Calculations[[#This Row],[Axis]],AXIS_DATA[],MATCH(Level_Verification_Calculations[[#Headers],[Section]],AXIS_DATA[#Headers],0),FALSE),"")</f>
        <v>Abutment</v>
      </c>
      <c r="I15" s="16">
        <f>IFERROR(VLOOKUP(Level_Verification_Calculations[[#This Row],[Section]],SECTION_DATA[],MATCH(Level_Verification_Calculations[[#Headers],[Alignment-Structure Axis Offset]],SECTION_DATA[#Headers],0),0),"")</f>
        <v>3.25</v>
      </c>
      <c r="J15" s="16">
        <f>IFERROR(VLOOKUP(Level_Verification_Calculations[[#This Row],[Section]],SECTION_DATA[],MATCH(Level_Verification_Calculations[[#Headers],[Superelevation (e%)]],SECTION_DATA[#Headers],0),0),"")</f>
        <v>5.6000000000000001E-2</v>
      </c>
      <c r="K15" s="16">
        <f>IFERROR(VLOOKUP(Level_Verification_Calculations[[#This Row],[Section]],SECTION_DATA[],MATCH(Level_Verification_Calculations[[#Headers],[Asphalt Thickness]],SECTION_DATA[#Headers],0),0),"")</f>
        <v>0.06</v>
      </c>
      <c r="L15" s="16">
        <f>IFERROR(VLOOKUP(Level_Verification_Calculations[[#This Row],[Section]],SECTION_DATA[],2,FALSE)*Level_Verification_Calculations[[#This Row],[Superelevation (e%)]]+Level_Verification_Calculations[[#This Row],[Alignment Elevation]]-VLOOKUP(Level_Verification_Calculations[[#This Row],[Section]],SECTION_DATA[],4,FALSE),"")</f>
        <v>634.61060408160006</v>
      </c>
      <c r="M15" s="16" t="str">
        <f>IFERROR(VLOOKUP(Level_Verification_Calculations[[#This Row],[Axis]],AXIS_DATA[],MATCH(Level_Verification_Calculations[[#Headers],[Axis Type]],AXIS_DATA[#Headers],0),FALSE),"")</f>
        <v>Bearing axis</v>
      </c>
      <c r="N15" s="16">
        <f>IFERROR(IF(Level_Verification_Calculations[[#This Row],[Axis Type]]="Fixed axis",0,VLOOKUP(Level_Verification_Calculations[[#This Row],[Section]],SECTION_DATA[],MATCH(Level_Verification_Calculations[[#Headers],[Bearing Height]],SECTION_DATA[#Headers],0),FALSE)),"")</f>
        <v>0.4</v>
      </c>
      <c r="O15" s="16">
        <f>IFERROR(VLOOKUP(Level_Verification_Calculations[[#This Row],[Axis]],AXIS_DATA[],MATCH(Level_Verification_Calculations[[#Headers],[Foundation Level]],AXIS_DATA[#Headers],0),FALSE),"")</f>
        <v>623.10599999999999</v>
      </c>
      <c r="P15" s="16">
        <f>IFERROR(VLOOKUP(Level_Verification_Calculations[[#This Row],[Axis]],AXIS_DATA[],MATCH(Level_Verification_Calculations[[#Headers],[Foundation Depth]],AXIS_DATA[#Headers],0),FALSE),"")</f>
        <v>1.5</v>
      </c>
      <c r="Q15" s="16">
        <f>IFERROR(Level_Verification_Calculations[[#This Row],[Foundation Level]]+Level_Verification_Calculations[[#This Row],[Foundation Depth]],"")</f>
        <v>624.60599999999999</v>
      </c>
      <c r="R15" s="21">
        <f>IFERROR(VLOOKUP(Level_Verification_Calculations[[#This Row],[Axis]],AXIS_DATA[],MATCH(Level_Verification_Calculations[[#Headers],[Pier Height (IFC DWG)]],AXIS_DATA[#Headers],0),FALSE),"")</f>
        <v>8.1069999999999993</v>
      </c>
      <c r="S15" s="16">
        <f>IFERROR(VLOOKUP(Level_Verification_Calculations[[#This Row],[Section]],SECTION_DATA[],MATCH(Level_Verification_Calculations[[#Headers],[Superstructure Depth]],SECTION_DATA[#Headers],0),FALSE),"")</f>
        <v>1.5</v>
      </c>
      <c r="T15" s="16">
        <f>IFERROR(Level_Verification_Calculations[[#This Row],[Structure Elevation]]-Level_Verification_Calculations[[#This Row],[Superstructure Depth]]-Level_Verification_Calculations[[#This Row],[Bearing Height]],"")</f>
        <v>632.71060408160008</v>
      </c>
      <c r="U15" s="21">
        <f>IFERROR(Level_Verification_Calculations[[#This Row],[Pier Elevation]]-Level_Verification_Calculations[[#This Row],[Top of Foundation Concrete]],"")</f>
        <v>8.1046040816000868</v>
      </c>
      <c r="V15" s="21">
        <f>IFERROR(Level_Verification_Calculations[[#This Row],[Pier Height (IFC DWG)]]-Level_Verification_Calculations[[#This Row],[Pier Height (Calculated)]],"")</f>
        <v>2.3959183999124889E-3</v>
      </c>
      <c r="W15" s="83">
        <f>IF(Level_Verification_Calculations[[#This Row],[Axis]]="","",IFERROR(VLOOKUP(Level_Verification_Calculations[[#This Row],[Axis]],COORDINATE_DATA[],MATCH(Level_Verification_Calculations[[#Headers],[Axis Center
X Coordinate]],COORDINATE_DATA[#Headers],0),FALSE),""))</f>
        <v>676628.83299999998</v>
      </c>
      <c r="X15" s="83">
        <f>IF(Level_Verification_Calculations[[#This Row],[Axis]]="","",IFERROR(VLOOKUP(Level_Verification_Calculations[[#This Row],[Axis]],COORDINATE_DATA[],MATCH(Level_Verification_Calculations[[#Headers],[Axis Center
Y Coordinate]],COORDINATE_DATA[#Headers],0),FALSE),""))</f>
        <v>2704991.02</v>
      </c>
      <c r="Y15" s="83">
        <f>IF(Level_Verification_Calculations[[#This Row],[Axis]]="","",IFERROR(VLOOKUP(Level_Verification_Calculations[[#This Row],[Axis]],COORDINATE_DATA[],MATCH(Level_Verification_Calculations[[#Headers],[θ]],COORDINATE_DATA[#Headers],0),FALSE),""))</f>
        <v>63.79</v>
      </c>
    </row>
    <row r="16" spans="2:25" s="1" customFormat="1" ht="15" customHeight="1" x14ac:dyDescent="0.2">
      <c r="B16" s="18">
        <f>COUNT($B$7:B15)+1</f>
        <v>9</v>
      </c>
      <c r="C16" s="19" t="str" cm="1">
        <f t="array" ref="C16">IF(INDEX(AXIS_DATA[Axis], B16)=0,"",INDEX(AXIS_DATA[Axis], B16))</f>
        <v>S1</v>
      </c>
      <c r="D16" s="20">
        <f>IFERROR(VLOOKUP(Level_Verification_Calculations[[#This Row],[Axis]],AXIS_DATA[],MATCH(Level_Verification_Calculations[[#Headers],[Station]],AXIS_DATA[#Headers],0),FALSE),"")</f>
        <v>964.50199999999995</v>
      </c>
      <c r="E16" s="20" cm="1">
        <f t="array" ref="E1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633.7848400993729</v>
      </c>
      <c r="F16" s="16" cm="1">
        <f t="array" ref="F1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6" s="16" t="str">
        <f>IFERROR(VLOOKUP(Level_Verification_Calculations[[#This Row],[Segment Number]],PROFILE_DATA[],MATCH(Level_Verification_Calculations[[#Headers],[Segment Type]],PROFILE_DATA[#Headers],0),FALSE),"")</f>
        <v>Straight</v>
      </c>
      <c r="H16" s="16" t="str">
        <f>IFERROR(VLOOKUP(Level_Verification_Calculations[[#This Row],[Axis]],AXIS_DATA[],MATCH(Level_Verification_Calculations[[#Headers],[Section]],AXIS_DATA[#Headers],0),FALSE),"")</f>
        <v>Coordinate</v>
      </c>
      <c r="I16" s="16">
        <f>IFERROR(VLOOKUP(Level_Verification_Calculations[[#This Row],[Section]],SECTION_DATA[],MATCH(Level_Verification_Calculations[[#Headers],[Alignment-Structure Axis Offset]],SECTION_DATA[#Headers],0),0),"")</f>
        <v>3.25</v>
      </c>
      <c r="J16" s="16">
        <f>IFERROR(VLOOKUP(Level_Verification_Calculations[[#This Row],[Section]],SECTION_DATA[],MATCH(Level_Verification_Calculations[[#Headers],[Superelevation (e%)]],SECTION_DATA[#Headers],0),0),"")</f>
        <v>5.6000000000000001E-2</v>
      </c>
      <c r="K16" s="16">
        <f>IFERROR(VLOOKUP(Level_Verification_Calculations[[#This Row],[Section]],SECTION_DATA[],MATCH(Level_Verification_Calculations[[#Headers],[Asphalt Thickness]],SECTION_DATA[#Headers],0),0),"")</f>
        <v>0.06</v>
      </c>
      <c r="L16" s="16">
        <f>IFERROR(VLOOKUP(Level_Verification_Calculations[[#This Row],[Section]],SECTION_DATA[],2,FALSE)*Level_Verification_Calculations[[#This Row],[Superelevation (e%)]]+Level_Verification_Calculations[[#This Row],[Alignment Elevation]]-VLOOKUP(Level_Verification_Calculations[[#This Row],[Section]],SECTION_DATA[],4,FALSE),"")</f>
        <v>633.90684009937297</v>
      </c>
      <c r="M16" s="16" t="str">
        <f>IFERROR(VLOOKUP(Level_Verification_Calculations[[#This Row],[Axis]],AXIS_DATA[],MATCH(Level_Verification_Calculations[[#Headers],[Axis Type]],AXIS_DATA[#Headers],0),FALSE),"")</f>
        <v>Coordinate axis</v>
      </c>
      <c r="N16" s="16">
        <f>IFERROR(IF(Level_Verification_Calculations[[#This Row],[Axis Type]]="Fixed axis",0,VLOOKUP(Level_Verification_Calculations[[#This Row],[Section]],SECTION_DATA[],MATCH(Level_Verification_Calculations[[#Headers],[Bearing Height]],SECTION_DATA[#Headers],0),FALSE)),"")</f>
        <v>0</v>
      </c>
      <c r="O16" s="16">
        <f>IFERROR(VLOOKUP(Level_Verification_Calculations[[#This Row],[Axis]],AXIS_DATA[],MATCH(Level_Verification_Calculations[[#Headers],[Foundation Level]],AXIS_DATA[#Headers],0),FALSE),"")</f>
        <v>0</v>
      </c>
      <c r="P16" s="16">
        <f>IFERROR(VLOOKUP(Level_Verification_Calculations[[#This Row],[Axis]],AXIS_DATA[],MATCH(Level_Verification_Calculations[[#Headers],[Foundation Depth]],AXIS_DATA[#Headers],0),FALSE),"")</f>
        <v>0</v>
      </c>
      <c r="Q16" s="16">
        <f>IFERROR(Level_Verification_Calculations[[#This Row],[Foundation Level]]+Level_Verification_Calculations[[#This Row],[Foundation Depth]],"")</f>
        <v>0</v>
      </c>
      <c r="R16" s="21">
        <f>IFERROR(VLOOKUP(Level_Verification_Calculations[[#This Row],[Axis]],AXIS_DATA[],MATCH(Level_Verification_Calculations[[#Headers],[Pier Height (IFC DWG)]],AXIS_DATA[#Headers],0),FALSE),"")</f>
        <v>0</v>
      </c>
      <c r="S16" s="16">
        <f>IFERROR(VLOOKUP(Level_Verification_Calculations[[#This Row],[Section]],SECTION_DATA[],MATCH(Level_Verification_Calculations[[#Headers],[Superstructure Depth]],SECTION_DATA[#Headers],0),FALSE),"")</f>
        <v>1.5</v>
      </c>
      <c r="T16" s="16">
        <f>IFERROR(Level_Verification_Calculations[[#This Row],[Structure Elevation]]-Level_Verification_Calculations[[#This Row],[Superstructure Depth]]-Level_Verification_Calculations[[#This Row],[Bearing Height]],"")</f>
        <v>632.40684009937297</v>
      </c>
      <c r="U16" s="21">
        <f>IFERROR(Level_Verification_Calculations[[#This Row],[Pier Elevation]]-Level_Verification_Calculations[[#This Row],[Top of Foundation Concrete]],"")</f>
        <v>632.40684009937297</v>
      </c>
      <c r="V16" s="21">
        <f>IFERROR(Level_Verification_Calculations[[#This Row],[Pier Height (IFC DWG)]]-Level_Verification_Calculations[[#This Row],[Pier Height (Calculated)]],"")</f>
        <v>-632.40684009937297</v>
      </c>
      <c r="W16" s="83">
        <f>IF(Level_Verification_Calculations[[#This Row],[Axis]]="","",IFERROR(VLOOKUP(Level_Verification_Calculations[[#This Row],[Axis]],COORDINATE_DATA[],MATCH(Level_Verification_Calculations[[#Headers],[Axis Center
X Coordinate]],COORDINATE_DATA[#Headers],0),FALSE),""))</f>
        <v>676514.61300000001</v>
      </c>
      <c r="X16" s="83">
        <f>IF(Level_Verification_Calculations[[#This Row],[Axis]]="","",IFERROR(VLOOKUP(Level_Verification_Calculations[[#This Row],[Axis]],COORDINATE_DATA[],MATCH(Level_Verification_Calculations[[#Headers],[Axis Center
Y Coordinate]],COORDINATE_DATA[#Headers],0),FALSE),""))</f>
        <v>2705098.273</v>
      </c>
      <c r="Y16" s="83">
        <f>IF(Level_Verification_Calculations[[#This Row],[Axis]]="","",IFERROR(VLOOKUP(Level_Verification_Calculations[[#This Row],[Axis]],COORDINATE_DATA[],MATCH(Level_Verification_Calculations[[#Headers],[θ]],COORDINATE_DATA[#Headers],0),FALSE),""))</f>
        <v>29.821000000000002</v>
      </c>
    </row>
    <row r="17" spans="2:25" s="1" customFormat="1" ht="15" customHeight="1" x14ac:dyDescent="0.2">
      <c r="B17" s="18">
        <f>COUNT($B$7:B16)+1</f>
        <v>10</v>
      </c>
      <c r="C17" s="19" t="str" cm="1">
        <f t="array" ref="C17">IF(INDEX(AXIS_DATA[Axis], B17)=0,"",INDEX(AXIS_DATA[Axis], B17))</f>
        <v>S2</v>
      </c>
      <c r="D17" s="20">
        <f>IFERROR(VLOOKUP(Level_Verification_Calculations[[#This Row],[Axis]],AXIS_DATA[],MATCH(Level_Verification_Calculations[[#Headers],[Station]],AXIS_DATA[#Headers],0),FALSE),"")</f>
        <v>987.22299999999996</v>
      </c>
      <c r="E17" s="20" cm="1">
        <f t="array" ref="E1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633.89845084454328</v>
      </c>
      <c r="F17" s="16" cm="1">
        <f t="array" ref="F1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7" s="16" t="str">
        <f>IFERROR(VLOOKUP(Level_Verification_Calculations[[#This Row],[Segment Number]],PROFILE_DATA[],MATCH(Level_Verification_Calculations[[#Headers],[Segment Type]],PROFILE_DATA[#Headers],0),FALSE),"")</f>
        <v>Straight</v>
      </c>
      <c r="H17" s="16" t="str">
        <f>IFERROR(VLOOKUP(Level_Verification_Calculations[[#This Row],[Axis]],AXIS_DATA[],MATCH(Level_Verification_Calculations[[#Headers],[Section]],AXIS_DATA[#Headers],0),FALSE),"")</f>
        <v>Coordinate</v>
      </c>
      <c r="I17" s="16">
        <f>IFERROR(VLOOKUP(Level_Verification_Calculations[[#This Row],[Section]],SECTION_DATA[],MATCH(Level_Verification_Calculations[[#Headers],[Alignment-Structure Axis Offset]],SECTION_DATA[#Headers],0),0),"")</f>
        <v>3.25</v>
      </c>
      <c r="J17" s="16">
        <f>IFERROR(VLOOKUP(Level_Verification_Calculations[[#This Row],[Section]],SECTION_DATA[],MATCH(Level_Verification_Calculations[[#Headers],[Superelevation (e%)]],SECTION_DATA[#Headers],0),0),"")</f>
        <v>5.6000000000000001E-2</v>
      </c>
      <c r="K17" s="16">
        <f>IFERROR(VLOOKUP(Level_Verification_Calculations[[#This Row],[Section]],SECTION_DATA[],MATCH(Level_Verification_Calculations[[#Headers],[Asphalt Thickness]],SECTION_DATA[#Headers],0),0),"")</f>
        <v>0.06</v>
      </c>
      <c r="L17" s="16">
        <f>IFERROR(VLOOKUP(Level_Verification_Calculations[[#This Row],[Section]],SECTION_DATA[],2,FALSE)*Level_Verification_Calculations[[#This Row],[Superelevation (e%)]]+Level_Verification_Calculations[[#This Row],[Alignment Elevation]]-VLOOKUP(Level_Verification_Calculations[[#This Row],[Section]],SECTION_DATA[],4,FALSE),"")</f>
        <v>634.02045084454335</v>
      </c>
      <c r="M17" s="16" t="str">
        <f>IFERROR(VLOOKUP(Level_Verification_Calculations[[#This Row],[Axis]],AXIS_DATA[],MATCH(Level_Verification_Calculations[[#Headers],[Axis Type]],AXIS_DATA[#Headers],0),FALSE),"")</f>
        <v>Coordinate axis</v>
      </c>
      <c r="N17" s="16">
        <f>IFERROR(IF(Level_Verification_Calculations[[#This Row],[Axis Type]]="Fixed axis",0,VLOOKUP(Level_Verification_Calculations[[#This Row],[Section]],SECTION_DATA[],MATCH(Level_Verification_Calculations[[#Headers],[Bearing Height]],SECTION_DATA[#Headers],0),FALSE)),"")</f>
        <v>0</v>
      </c>
      <c r="O17" s="16">
        <f>IFERROR(VLOOKUP(Level_Verification_Calculations[[#This Row],[Axis]],AXIS_DATA[],MATCH(Level_Verification_Calculations[[#Headers],[Foundation Level]],AXIS_DATA[#Headers],0),FALSE),"")</f>
        <v>0</v>
      </c>
      <c r="P17" s="16">
        <f>IFERROR(VLOOKUP(Level_Verification_Calculations[[#This Row],[Axis]],AXIS_DATA[],MATCH(Level_Verification_Calculations[[#Headers],[Foundation Depth]],AXIS_DATA[#Headers],0),FALSE),"")</f>
        <v>0</v>
      </c>
      <c r="Q17" s="16">
        <f>IFERROR(Level_Verification_Calculations[[#This Row],[Foundation Level]]+Level_Verification_Calculations[[#This Row],[Foundation Depth]],"")</f>
        <v>0</v>
      </c>
      <c r="R17" s="21">
        <f>IFERROR(VLOOKUP(Level_Verification_Calculations[[#This Row],[Axis]],AXIS_DATA[],MATCH(Level_Verification_Calculations[[#Headers],[Pier Height (IFC DWG)]],AXIS_DATA[#Headers],0),FALSE),"")</f>
        <v>0</v>
      </c>
      <c r="S17" s="16">
        <f>IFERROR(VLOOKUP(Level_Verification_Calculations[[#This Row],[Section]],SECTION_DATA[],MATCH(Level_Verification_Calculations[[#Headers],[Superstructure Depth]],SECTION_DATA[#Headers],0),FALSE),"")</f>
        <v>1.5</v>
      </c>
      <c r="T17" s="16">
        <f>IFERROR(Level_Verification_Calculations[[#This Row],[Structure Elevation]]-Level_Verification_Calculations[[#This Row],[Superstructure Depth]]-Level_Verification_Calculations[[#This Row],[Bearing Height]],"")</f>
        <v>632.52045084454335</v>
      </c>
      <c r="U17" s="21">
        <f>IFERROR(Level_Verification_Calculations[[#This Row],[Pier Elevation]]-Level_Verification_Calculations[[#This Row],[Top of Foundation Concrete]],"")</f>
        <v>632.52045084454335</v>
      </c>
      <c r="V17" s="21">
        <f>IFERROR(Level_Verification_Calculations[[#This Row],[Pier Height (IFC DWG)]]-Level_Verification_Calculations[[#This Row],[Pier Height (Calculated)]],"")</f>
        <v>-632.52045084454335</v>
      </c>
      <c r="W17" s="83">
        <f>IF(Level_Verification_Calculations[[#This Row],[Axis]]="","",IFERROR(VLOOKUP(Level_Verification_Calculations[[#This Row],[Axis]],COORDINATE_DATA[],MATCH(Level_Verification_Calculations[[#Headers],[Axis Center
X Coordinate]],COORDINATE_DATA[#Headers],0),FALSE),""))</f>
        <v>676526.89199999999</v>
      </c>
      <c r="X17" s="83">
        <f>IF(Level_Verification_Calculations[[#This Row],[Axis]]="","",IFERROR(VLOOKUP(Level_Verification_Calculations[[#This Row],[Axis]],COORDINATE_DATA[],MATCH(Level_Verification_Calculations[[#Headers],[Axis Center
Y Coordinate]],COORDINATE_DATA[#Headers],0),FALSE),""))</f>
        <v>2705078.8330000001</v>
      </c>
      <c r="Y17" s="83">
        <f>IF(Level_Verification_Calculations[[#This Row],[Axis]]="","",IFERROR(VLOOKUP(Level_Verification_Calculations[[#This Row],[Axis]],COORDINATE_DATA[],MATCH(Level_Verification_Calculations[[#Headers],[θ]],COORDINATE_DATA[#Headers],0),FALSE),""))</f>
        <v>34.734000000000002</v>
      </c>
    </row>
    <row r="18" spans="2:25" s="1" customFormat="1" ht="15" customHeight="1" x14ac:dyDescent="0.2">
      <c r="B18" s="18">
        <f>COUNT($B$7:B17)+1</f>
        <v>11</v>
      </c>
      <c r="C18" s="19" t="str" cm="1">
        <f t="array" ref="C18">IF(INDEX(AXIS_DATA[Axis], B18)=0,"",INDEX(AXIS_DATA[Axis], B18))</f>
        <v>S3</v>
      </c>
      <c r="D18" s="20">
        <f>IFERROR(VLOOKUP(Level_Verification_Calculations[[#This Row],[Axis]],AXIS_DATA[],MATCH(Level_Verification_Calculations[[#Headers],[Station]],AXIS_DATA[#Headers],0),FALSE),"")</f>
        <v>1012.908</v>
      </c>
      <c r="E18" s="20" cm="1">
        <f t="array" ref="E1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634.02688233918275</v>
      </c>
      <c r="F18" s="16" cm="1">
        <f t="array" ref="F1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8" s="16" t="str">
        <f>IFERROR(VLOOKUP(Level_Verification_Calculations[[#This Row],[Segment Number]],PROFILE_DATA[],MATCH(Level_Verification_Calculations[[#Headers],[Segment Type]],PROFILE_DATA[#Headers],0),FALSE),"")</f>
        <v>Straight</v>
      </c>
      <c r="H18" s="16" t="str">
        <f>IFERROR(VLOOKUP(Level_Verification_Calculations[[#This Row],[Axis]],AXIS_DATA[],MATCH(Level_Verification_Calculations[[#Headers],[Section]],AXIS_DATA[#Headers],0),FALSE),"")</f>
        <v>Coordinate</v>
      </c>
      <c r="I18" s="16">
        <f>IFERROR(VLOOKUP(Level_Verification_Calculations[[#This Row],[Section]],SECTION_DATA[],MATCH(Level_Verification_Calculations[[#Headers],[Alignment-Structure Axis Offset]],SECTION_DATA[#Headers],0),0),"")</f>
        <v>3.25</v>
      </c>
      <c r="J18" s="16">
        <f>IFERROR(VLOOKUP(Level_Verification_Calculations[[#This Row],[Section]],SECTION_DATA[],MATCH(Level_Verification_Calculations[[#Headers],[Superelevation (e%)]],SECTION_DATA[#Headers],0),0),"")</f>
        <v>5.6000000000000001E-2</v>
      </c>
      <c r="K18" s="16">
        <f>IFERROR(VLOOKUP(Level_Verification_Calculations[[#This Row],[Section]],SECTION_DATA[],MATCH(Level_Verification_Calculations[[#Headers],[Asphalt Thickness]],SECTION_DATA[#Headers],0),0),"")</f>
        <v>0.06</v>
      </c>
      <c r="L18" s="16">
        <f>IFERROR(VLOOKUP(Level_Verification_Calculations[[#This Row],[Section]],SECTION_DATA[],2,FALSE)*Level_Verification_Calculations[[#This Row],[Superelevation (e%)]]+Level_Verification_Calculations[[#This Row],[Alignment Elevation]]-VLOOKUP(Level_Verification_Calculations[[#This Row],[Section]],SECTION_DATA[],4,FALSE),"")</f>
        <v>634.14888233918282</v>
      </c>
      <c r="M18" s="16" t="str">
        <f>IFERROR(VLOOKUP(Level_Verification_Calculations[[#This Row],[Axis]],AXIS_DATA[],MATCH(Level_Verification_Calculations[[#Headers],[Axis Type]],AXIS_DATA[#Headers],0),FALSE),"")</f>
        <v>Coordinate axis</v>
      </c>
      <c r="N18" s="16">
        <f>IFERROR(IF(Level_Verification_Calculations[[#This Row],[Axis Type]]="Fixed axis",0,VLOOKUP(Level_Verification_Calculations[[#This Row],[Section]],SECTION_DATA[],MATCH(Level_Verification_Calculations[[#Headers],[Bearing Height]],SECTION_DATA[#Headers],0),FALSE)),"")</f>
        <v>0</v>
      </c>
      <c r="O18" s="16">
        <f>IFERROR(VLOOKUP(Level_Verification_Calculations[[#This Row],[Axis]],AXIS_DATA[],MATCH(Level_Verification_Calculations[[#Headers],[Foundation Level]],AXIS_DATA[#Headers],0),FALSE),"")</f>
        <v>0</v>
      </c>
      <c r="P18" s="16">
        <f>IFERROR(VLOOKUP(Level_Verification_Calculations[[#This Row],[Axis]],AXIS_DATA[],MATCH(Level_Verification_Calculations[[#Headers],[Foundation Depth]],AXIS_DATA[#Headers],0),FALSE),"")</f>
        <v>0</v>
      </c>
      <c r="Q18" s="16">
        <f>IFERROR(Level_Verification_Calculations[[#This Row],[Foundation Level]]+Level_Verification_Calculations[[#This Row],[Foundation Depth]],"")</f>
        <v>0</v>
      </c>
      <c r="R18" s="21">
        <f>IFERROR(VLOOKUP(Level_Verification_Calculations[[#This Row],[Axis]],AXIS_DATA[],MATCH(Level_Verification_Calculations[[#Headers],[Pier Height (IFC DWG)]],AXIS_DATA[#Headers],0),FALSE),"")</f>
        <v>0</v>
      </c>
      <c r="S18" s="16">
        <f>IFERROR(VLOOKUP(Level_Verification_Calculations[[#This Row],[Section]],SECTION_DATA[],MATCH(Level_Verification_Calculations[[#Headers],[Superstructure Depth]],SECTION_DATA[#Headers],0),FALSE),"")</f>
        <v>1.5</v>
      </c>
      <c r="T18" s="16">
        <f>IFERROR(Level_Verification_Calculations[[#This Row],[Structure Elevation]]-Level_Verification_Calculations[[#This Row],[Superstructure Depth]]-Level_Verification_Calculations[[#This Row],[Bearing Height]],"")</f>
        <v>632.64888233918282</v>
      </c>
      <c r="U18" s="21">
        <f>IFERROR(Level_Verification_Calculations[[#This Row],[Pier Elevation]]-Level_Verification_Calculations[[#This Row],[Top of Foundation Concrete]],"")</f>
        <v>632.64888233918282</v>
      </c>
      <c r="V18" s="21">
        <f>IFERROR(Level_Verification_Calculations[[#This Row],[Pier Height (IFC DWG)]]-Level_Verification_Calculations[[#This Row],[Pier Height (Calculated)]],"")</f>
        <v>-632.64888233918282</v>
      </c>
      <c r="W18" s="83">
        <f>IF(Level_Verification_Calculations[[#This Row],[Axis]]="","",IFERROR(VLOOKUP(Level_Verification_Calculations[[#This Row],[Axis]],COORDINATE_DATA[],MATCH(Level_Verification_Calculations[[#Headers],[Axis Center
X Coordinate]],COORDINATE_DATA[#Headers],0),FALSE),""))</f>
        <v>676542.71699999995</v>
      </c>
      <c r="X18" s="83">
        <f>IF(Level_Verification_Calculations[[#This Row],[Axis]]="","",IFERROR(VLOOKUP(Level_Verification_Calculations[[#This Row],[Axis]],COORDINATE_DATA[],MATCH(Level_Verification_Calculations[[#Headers],[Axis Center
Y Coordinate]],COORDINATE_DATA[#Headers],0),FALSE),""))</f>
        <v>2705058.2170000002</v>
      </c>
      <c r="Y18" s="83">
        <f>IF(Level_Verification_Calculations[[#This Row],[Axis]]="","",IFERROR(VLOOKUP(Level_Verification_Calculations[[#This Row],[Axis]],COORDINATE_DATA[],MATCH(Level_Verification_Calculations[[#Headers],[θ]],COORDINATE_DATA[#Headers],0),FALSE),""))</f>
        <v>40.286999999999999</v>
      </c>
    </row>
    <row r="19" spans="2:25" s="1" customFormat="1" ht="15" customHeight="1" x14ac:dyDescent="0.2">
      <c r="B19" s="18">
        <f>COUNT($B$7:B18)+1</f>
        <v>12</v>
      </c>
      <c r="C19" s="19" t="str" cm="1">
        <f t="array" ref="C19">IF(INDEX(AXIS_DATA[Axis], B19)=0,"",INDEX(AXIS_DATA[Axis], B19))</f>
        <v>S4</v>
      </c>
      <c r="D19" s="22">
        <f>IFERROR(VLOOKUP(Level_Verification_Calculations[[#This Row],[Axis]],AXIS_DATA[],MATCH(Level_Verification_Calculations[[#Headers],[Station]],AXIS_DATA[#Headers],0),FALSE),"")</f>
        <v>1037.605</v>
      </c>
      <c r="E19" s="22" cm="1">
        <f t="array" ref="E1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634.15037358399923</v>
      </c>
      <c r="F19" s="23" cm="1">
        <f t="array" ref="F1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9" s="24" t="str">
        <f>IFERROR(VLOOKUP(Level_Verification_Calculations[[#This Row],[Segment Number]],PROFILE_DATA[],MATCH(Level_Verification_Calculations[[#Headers],[Segment Type]],PROFILE_DATA[#Headers],0),FALSE),"")</f>
        <v>Straight</v>
      </c>
      <c r="H19" s="16" t="str">
        <f>IFERROR(VLOOKUP(Level_Verification_Calculations[[#This Row],[Axis]],AXIS_DATA[],MATCH(Level_Verification_Calculations[[#Headers],[Section]],AXIS_DATA[#Headers],0),FALSE),"")</f>
        <v>Coordinate</v>
      </c>
      <c r="I19" s="16">
        <f>IFERROR(VLOOKUP(Level_Verification_Calculations[[#This Row],[Section]],SECTION_DATA[],MATCH(Level_Verification_Calculations[[#Headers],[Alignment-Structure Axis Offset]],SECTION_DATA[#Headers],0),0),"")</f>
        <v>3.25</v>
      </c>
      <c r="J19" s="16">
        <f>IFERROR(VLOOKUP(Level_Verification_Calculations[[#This Row],[Section]],SECTION_DATA[],MATCH(Level_Verification_Calculations[[#Headers],[Superelevation (e%)]],SECTION_DATA[#Headers],0),0),"")</f>
        <v>5.6000000000000001E-2</v>
      </c>
      <c r="K19" s="16">
        <f>IFERROR(VLOOKUP(Level_Verification_Calculations[[#This Row],[Section]],SECTION_DATA[],MATCH(Level_Verification_Calculations[[#Headers],[Asphalt Thickness]],SECTION_DATA[#Headers],0),0),"")</f>
        <v>0.06</v>
      </c>
      <c r="L19" s="24">
        <f>IFERROR(VLOOKUP(Level_Verification_Calculations[[#This Row],[Section]],SECTION_DATA[],2,FALSE)*Level_Verification_Calculations[[#This Row],[Superelevation (e%)]]+Level_Verification_Calculations[[#This Row],[Alignment Elevation]]-VLOOKUP(Level_Verification_Calculations[[#This Row],[Section]],SECTION_DATA[],4,FALSE),"")</f>
        <v>634.2723735839993</v>
      </c>
      <c r="M19" s="16" t="str">
        <f>IFERROR(VLOOKUP(Level_Verification_Calculations[[#This Row],[Axis]],AXIS_DATA[],MATCH(Level_Verification_Calculations[[#Headers],[Axis Type]],AXIS_DATA[#Headers],0),FALSE),"")</f>
        <v>Coordinate axis</v>
      </c>
      <c r="N19" s="16">
        <f>IFERROR(IF(Level_Verification_Calculations[[#This Row],[Axis Type]]="Fixed axis",0,VLOOKUP(Level_Verification_Calculations[[#This Row],[Section]],SECTION_DATA[],MATCH(Level_Verification_Calculations[[#Headers],[Bearing Height]],SECTION_DATA[#Headers],0),FALSE)),"")</f>
        <v>0</v>
      </c>
      <c r="O19" s="16">
        <f>IFERROR(VLOOKUP(Level_Verification_Calculations[[#This Row],[Axis]],AXIS_DATA[],MATCH(Level_Verification_Calculations[[#Headers],[Foundation Level]],AXIS_DATA[#Headers],0),FALSE),"")</f>
        <v>0</v>
      </c>
      <c r="P19" s="16">
        <f>IFERROR(VLOOKUP(Level_Verification_Calculations[[#This Row],[Axis]],AXIS_DATA[],MATCH(Level_Verification_Calculations[[#Headers],[Foundation Depth]],AXIS_DATA[#Headers],0),FALSE),"")</f>
        <v>0</v>
      </c>
      <c r="Q19" s="16">
        <f>IFERROR(Level_Verification_Calculations[[#This Row],[Foundation Level]]+Level_Verification_Calculations[[#This Row],[Foundation Depth]],"")</f>
        <v>0</v>
      </c>
      <c r="R19" s="21">
        <f>IFERROR(VLOOKUP(Level_Verification_Calculations[[#This Row],[Axis]],AXIS_DATA[],MATCH(Level_Verification_Calculations[[#Headers],[Pier Height (IFC DWG)]],AXIS_DATA[#Headers],0),FALSE),"")</f>
        <v>0</v>
      </c>
      <c r="S19" s="16">
        <f>IFERROR(VLOOKUP(Level_Verification_Calculations[[#This Row],[Section]],SECTION_DATA[],MATCH(Level_Verification_Calculations[[#Headers],[Superstructure Depth]],SECTION_DATA[#Headers],0),FALSE),"")</f>
        <v>1.5</v>
      </c>
      <c r="T19" s="16">
        <f>IFERROR(Level_Verification_Calculations[[#This Row],[Structure Elevation]]-Level_Verification_Calculations[[#This Row],[Superstructure Depth]]-Level_Verification_Calculations[[#This Row],[Bearing Height]],"")</f>
        <v>632.7723735839993</v>
      </c>
      <c r="U19" s="21">
        <f>IFERROR(Level_Verification_Calculations[[#This Row],[Pier Elevation]]-Level_Verification_Calculations[[#This Row],[Top of Foundation Concrete]],"")</f>
        <v>632.7723735839993</v>
      </c>
      <c r="V19" s="21">
        <f>IFERROR(Level_Verification_Calculations[[#This Row],[Pier Height (IFC DWG)]]-Level_Verification_Calculations[[#This Row],[Pier Height (Calculated)]],"")</f>
        <v>-632.7723735839993</v>
      </c>
      <c r="W19" s="83">
        <f>IF(Level_Verification_Calculations[[#This Row],[Axis]]="","",IFERROR(VLOOKUP(Level_Verification_Calculations[[#This Row],[Axis]],COORDINATE_DATA[],MATCH(Level_Verification_Calculations[[#Headers],[Axis Center
X Coordinate]],COORDINATE_DATA[#Headers],0),FALSE),""))</f>
        <v>676559.74699999997</v>
      </c>
      <c r="X19" s="83">
        <f>IF(Level_Verification_Calculations[[#This Row],[Axis]]="","",IFERROR(VLOOKUP(Level_Verification_Calculations[[#This Row],[Axis]],COORDINATE_DATA[],MATCH(Level_Verification_Calculations[[#Headers],[Axis Center
Y Coordinate]],COORDINATE_DATA[#Headers],0),FALSE),""))</f>
        <v>2705039.9270000001</v>
      </c>
      <c r="Y19" s="83">
        <f>IF(Level_Verification_Calculations[[#This Row],[Axis]]="","",IFERROR(VLOOKUP(Level_Verification_Calculations[[#This Row],[Axis]],COORDINATE_DATA[],MATCH(Level_Verification_Calculations[[#Headers],[θ]],COORDINATE_DATA[#Headers],0),FALSE),""))</f>
        <v>45.627000000000002</v>
      </c>
    </row>
    <row r="20" spans="2:25" s="1" customFormat="1" ht="15" customHeight="1" x14ac:dyDescent="0.2">
      <c r="B20" s="18">
        <f>COUNT($B$7:B19)+1</f>
        <v>13</v>
      </c>
      <c r="C20" s="19" t="str" cm="1">
        <f t="array" ref="C20">IF(INDEX(AXIS_DATA[Axis], B20)=0,"",INDEX(AXIS_DATA[Axis], B20))</f>
        <v>S5</v>
      </c>
      <c r="D20" s="22">
        <f>IFERROR(VLOOKUP(Level_Verification_Calculations[[#This Row],[Axis]],AXIS_DATA[],MATCH(Level_Verification_Calculations[[#Headers],[Station]],AXIS_DATA[#Headers],0),FALSE),"")</f>
        <v>1062.3030000000001</v>
      </c>
      <c r="E20" s="22" cm="1">
        <f t="array" ref="E2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634.27386982906853</v>
      </c>
      <c r="F20" s="23" cm="1">
        <f t="array" ref="F2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20" s="24" t="str">
        <f>IFERROR(VLOOKUP(Level_Verification_Calculations[[#This Row],[Segment Number]],PROFILE_DATA[],MATCH(Level_Verification_Calculations[[#Headers],[Segment Type]],PROFILE_DATA[#Headers],0),FALSE),"")</f>
        <v>Straight</v>
      </c>
      <c r="H20" s="16" t="str">
        <f>IFERROR(VLOOKUP(Level_Verification_Calculations[[#This Row],[Axis]],AXIS_DATA[],MATCH(Level_Verification_Calculations[[#Headers],[Section]],AXIS_DATA[#Headers],0),FALSE),"")</f>
        <v>Coordinate</v>
      </c>
      <c r="I20" s="16">
        <f>IFERROR(VLOOKUP(Level_Verification_Calculations[[#This Row],[Section]],SECTION_DATA[],MATCH(Level_Verification_Calculations[[#Headers],[Alignment-Structure Axis Offset]],SECTION_DATA[#Headers],0),0),"")</f>
        <v>3.25</v>
      </c>
      <c r="J20" s="16">
        <f>IFERROR(VLOOKUP(Level_Verification_Calculations[[#This Row],[Section]],SECTION_DATA[],MATCH(Level_Verification_Calculations[[#Headers],[Superelevation (e%)]],SECTION_DATA[#Headers],0),0),"")</f>
        <v>5.6000000000000001E-2</v>
      </c>
      <c r="K20" s="16">
        <f>IFERROR(VLOOKUP(Level_Verification_Calculations[[#This Row],[Section]],SECTION_DATA[],MATCH(Level_Verification_Calculations[[#Headers],[Asphalt Thickness]],SECTION_DATA[#Headers],0),0),"")</f>
        <v>0.06</v>
      </c>
      <c r="L20" s="24">
        <f>IFERROR(VLOOKUP(Level_Verification_Calculations[[#This Row],[Section]],SECTION_DATA[],2,FALSE)*Level_Verification_Calculations[[#This Row],[Superelevation (e%)]]+Level_Verification_Calculations[[#This Row],[Alignment Elevation]]-VLOOKUP(Level_Verification_Calculations[[#This Row],[Section]],SECTION_DATA[],4,FALSE),"")</f>
        <v>634.3958698290686</v>
      </c>
      <c r="M20" s="16" t="str">
        <f>IFERROR(VLOOKUP(Level_Verification_Calculations[[#This Row],[Axis]],AXIS_DATA[],MATCH(Level_Verification_Calculations[[#Headers],[Axis Type]],AXIS_DATA[#Headers],0),FALSE),"")</f>
        <v>Coordinate axis</v>
      </c>
      <c r="N20" s="16">
        <f>IFERROR(IF(Level_Verification_Calculations[[#This Row],[Axis Type]]="Fixed axis",0,VLOOKUP(Level_Verification_Calculations[[#This Row],[Section]],SECTION_DATA[],MATCH(Level_Verification_Calculations[[#Headers],[Bearing Height]],SECTION_DATA[#Headers],0),FALSE)),"")</f>
        <v>0</v>
      </c>
      <c r="O20" s="16">
        <f>IFERROR(VLOOKUP(Level_Verification_Calculations[[#This Row],[Axis]],AXIS_DATA[],MATCH(Level_Verification_Calculations[[#Headers],[Foundation Level]],AXIS_DATA[#Headers],0),FALSE),"")</f>
        <v>0</v>
      </c>
      <c r="P20" s="16">
        <f>IFERROR(VLOOKUP(Level_Verification_Calculations[[#This Row],[Axis]],AXIS_DATA[],MATCH(Level_Verification_Calculations[[#Headers],[Foundation Depth]],AXIS_DATA[#Headers],0),FALSE),"")</f>
        <v>0</v>
      </c>
      <c r="Q20" s="16">
        <f>IFERROR(Level_Verification_Calculations[[#This Row],[Foundation Level]]+Level_Verification_Calculations[[#This Row],[Foundation Depth]],"")</f>
        <v>0</v>
      </c>
      <c r="R20" s="21">
        <f>IFERROR(VLOOKUP(Level_Verification_Calculations[[#This Row],[Axis]],AXIS_DATA[],MATCH(Level_Verification_Calculations[[#Headers],[Pier Height (IFC DWG)]],AXIS_DATA[#Headers],0),FALSE),"")</f>
        <v>0</v>
      </c>
      <c r="S20" s="16">
        <f>IFERROR(VLOOKUP(Level_Verification_Calculations[[#This Row],[Section]],SECTION_DATA[],MATCH(Level_Verification_Calculations[[#Headers],[Superstructure Depth]],SECTION_DATA[#Headers],0),FALSE),"")</f>
        <v>1.5</v>
      </c>
      <c r="T20" s="16">
        <f>IFERROR(Level_Verification_Calculations[[#This Row],[Structure Elevation]]-Level_Verification_Calculations[[#This Row],[Superstructure Depth]]-Level_Verification_Calculations[[#This Row],[Bearing Height]],"")</f>
        <v>632.8958698290686</v>
      </c>
      <c r="U20" s="21">
        <f>IFERROR(Level_Verification_Calculations[[#This Row],[Pier Elevation]]-Level_Verification_Calculations[[#This Row],[Top of Foundation Concrete]],"")</f>
        <v>632.8958698290686</v>
      </c>
      <c r="V20" s="21">
        <f>IFERROR(Level_Verification_Calculations[[#This Row],[Pier Height (IFC DWG)]]-Level_Verification_Calculations[[#This Row],[Pier Height (Calculated)]],"")</f>
        <v>-632.8958698290686</v>
      </c>
      <c r="W20" s="83">
        <f>IF(Level_Verification_Calculations[[#This Row],[Axis]]="","",IFERROR(VLOOKUP(Level_Verification_Calculations[[#This Row],[Axis]],COORDINATE_DATA[],MATCH(Level_Verification_Calculations[[#Headers],[Axis Center
X Coordinate]],COORDINATE_DATA[#Headers],0),FALSE),""))</f>
        <v>676578.40599999996</v>
      </c>
      <c r="X20" s="83">
        <f>IF(Level_Verification_Calculations[[#This Row],[Axis]]="","",IFERROR(VLOOKUP(Level_Verification_Calculations[[#This Row],[Axis]],COORDINATE_DATA[],MATCH(Level_Verification_Calculations[[#Headers],[Axis Center
Y Coordinate]],COORDINATE_DATA[#Headers],0),FALSE),""))</f>
        <v>2705023.301</v>
      </c>
      <c r="Y20" s="83">
        <f>IF(Level_Verification_Calculations[[#This Row],[Axis]]="","",IFERROR(VLOOKUP(Level_Verification_Calculations[[#This Row],[Axis]],COORDINATE_DATA[],MATCH(Level_Verification_Calculations[[#Headers],[θ]],COORDINATE_DATA[#Headers],0),FALSE),""))</f>
        <v>50.966999999999999</v>
      </c>
    </row>
    <row r="21" spans="2:25" s="1" customFormat="1" ht="15" customHeight="1" x14ac:dyDescent="0.2">
      <c r="B21" s="18">
        <f>COUNT($B$7:B20)+1</f>
        <v>14</v>
      </c>
      <c r="C21" s="19" t="str" cm="1">
        <f t="array" ref="C21">IF(INDEX(AXIS_DATA[Axis], B21)=0,"",INDEX(AXIS_DATA[Axis], B21))</f>
        <v>S6</v>
      </c>
      <c r="D21" s="22">
        <f>IFERROR(VLOOKUP(Level_Verification_Calculations[[#This Row],[Axis]],AXIS_DATA[],MATCH(Level_Verification_Calculations[[#Headers],[Station]],AXIS_DATA[#Headers],0),FALSE),"")</f>
        <v>1087.9880000000001</v>
      </c>
      <c r="E21" s="22" cm="1">
        <f t="array" ref="E2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634.40230132370789</v>
      </c>
      <c r="F21" s="23" cm="1">
        <f t="array" ref="F2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21" s="24" t="str">
        <f>IFERROR(VLOOKUP(Level_Verification_Calculations[[#This Row],[Segment Number]],PROFILE_DATA[],MATCH(Level_Verification_Calculations[[#Headers],[Segment Type]],PROFILE_DATA[#Headers],0),FALSE),"")</f>
        <v>Straight</v>
      </c>
      <c r="H21" s="16" t="str">
        <f>IFERROR(VLOOKUP(Level_Verification_Calculations[[#This Row],[Axis]],AXIS_DATA[],MATCH(Level_Verification_Calculations[[#Headers],[Section]],AXIS_DATA[#Headers],0),FALSE),"")</f>
        <v>Coordinate</v>
      </c>
      <c r="I21" s="16">
        <f>IFERROR(VLOOKUP(Level_Verification_Calculations[[#This Row],[Section]],SECTION_DATA[],MATCH(Level_Verification_Calculations[[#Headers],[Alignment-Structure Axis Offset]],SECTION_DATA[#Headers],0),0),"")</f>
        <v>3.25</v>
      </c>
      <c r="J21" s="16">
        <f>IFERROR(VLOOKUP(Level_Verification_Calculations[[#This Row],[Section]],SECTION_DATA[],MATCH(Level_Verification_Calculations[[#Headers],[Superelevation (e%)]],SECTION_DATA[#Headers],0),0),"")</f>
        <v>5.6000000000000001E-2</v>
      </c>
      <c r="K21" s="16">
        <f>IFERROR(VLOOKUP(Level_Verification_Calculations[[#This Row],[Section]],SECTION_DATA[],MATCH(Level_Verification_Calculations[[#Headers],[Asphalt Thickness]],SECTION_DATA[#Headers],0),0),"")</f>
        <v>0.06</v>
      </c>
      <c r="L21" s="24">
        <f>IFERROR(VLOOKUP(Level_Verification_Calculations[[#This Row],[Section]],SECTION_DATA[],2,FALSE)*Level_Verification_Calculations[[#This Row],[Superelevation (e%)]]+Level_Verification_Calculations[[#This Row],[Alignment Elevation]]-VLOOKUP(Level_Verification_Calculations[[#This Row],[Section]],SECTION_DATA[],4,FALSE),"")</f>
        <v>634.52430132370796</v>
      </c>
      <c r="M21" s="16" t="str">
        <f>IFERROR(VLOOKUP(Level_Verification_Calculations[[#This Row],[Axis]],AXIS_DATA[],MATCH(Level_Verification_Calculations[[#Headers],[Axis Type]],AXIS_DATA[#Headers],0),FALSE),"")</f>
        <v>Coordinate axis</v>
      </c>
      <c r="N21" s="16">
        <f>IFERROR(IF(Level_Verification_Calculations[[#This Row],[Axis Type]]="Fixed axis",0,VLOOKUP(Level_Verification_Calculations[[#This Row],[Section]],SECTION_DATA[],MATCH(Level_Verification_Calculations[[#Headers],[Bearing Height]],SECTION_DATA[#Headers],0),FALSE)),"")</f>
        <v>0</v>
      </c>
      <c r="O21" s="16">
        <f>IFERROR(VLOOKUP(Level_Verification_Calculations[[#This Row],[Axis]],AXIS_DATA[],MATCH(Level_Verification_Calculations[[#Headers],[Foundation Level]],AXIS_DATA[#Headers],0),FALSE),"")</f>
        <v>0</v>
      </c>
      <c r="P21" s="16">
        <f>IFERROR(VLOOKUP(Level_Verification_Calculations[[#This Row],[Axis]],AXIS_DATA[],MATCH(Level_Verification_Calculations[[#Headers],[Foundation Depth]],AXIS_DATA[#Headers],0),FALSE),"")</f>
        <v>0</v>
      </c>
      <c r="Q21" s="16">
        <f>IFERROR(Level_Verification_Calculations[[#This Row],[Foundation Level]]+Level_Verification_Calculations[[#This Row],[Foundation Depth]],"")</f>
        <v>0</v>
      </c>
      <c r="R21" s="21">
        <f>IFERROR(VLOOKUP(Level_Verification_Calculations[[#This Row],[Axis]],AXIS_DATA[],MATCH(Level_Verification_Calculations[[#Headers],[Pier Height (IFC DWG)]],AXIS_DATA[#Headers],0),FALSE),"")</f>
        <v>0</v>
      </c>
      <c r="S21" s="16">
        <f>IFERROR(VLOOKUP(Level_Verification_Calculations[[#This Row],[Section]],SECTION_DATA[],MATCH(Level_Verification_Calculations[[#Headers],[Superstructure Depth]],SECTION_DATA[#Headers],0),FALSE),"")</f>
        <v>1.5</v>
      </c>
      <c r="T21" s="16">
        <f>IFERROR(Level_Verification_Calculations[[#This Row],[Structure Elevation]]-Level_Verification_Calculations[[#This Row],[Superstructure Depth]]-Level_Verification_Calculations[[#This Row],[Bearing Height]],"")</f>
        <v>633.02430132370796</v>
      </c>
      <c r="U21" s="21">
        <f>IFERROR(Level_Verification_Calculations[[#This Row],[Pier Elevation]]-Level_Verification_Calculations[[#This Row],[Top of Foundation Concrete]],"")</f>
        <v>633.02430132370796</v>
      </c>
      <c r="V21" s="21">
        <f>IFERROR(Level_Verification_Calculations[[#This Row],[Pier Height (IFC DWG)]]-Level_Verification_Calculations[[#This Row],[Pier Height (Calculated)]],"")</f>
        <v>-633.02430132370796</v>
      </c>
      <c r="W21" s="83">
        <f>IF(Level_Verification_Calculations[[#This Row],[Axis]]="","",IFERROR(VLOOKUP(Level_Verification_Calculations[[#This Row],[Axis]],COORDINATE_DATA[],MATCH(Level_Verification_Calculations[[#Headers],[Axis Center
X Coordinate]],COORDINATE_DATA[#Headers],0),FALSE),""))</f>
        <v>676599.36300000001</v>
      </c>
      <c r="X21" s="83">
        <f>IF(Level_Verification_Calculations[[#This Row],[Axis]]="","",IFERROR(VLOOKUP(Level_Verification_Calculations[[#This Row],[Axis]],COORDINATE_DATA[],MATCH(Level_Verification_Calculations[[#Headers],[Axis Center
Y Coordinate]],COORDINATE_DATA[#Headers],0),FALSE),""))</f>
        <v>2705007.9309999999</v>
      </c>
      <c r="Y21" s="83">
        <f>IF(Level_Verification_Calculations[[#This Row],[Axis]]="","",IFERROR(VLOOKUP(Level_Verification_Calculations[[#This Row],[Axis]],COORDINATE_DATA[],MATCH(Level_Verification_Calculations[[#Headers],[θ]],COORDINATE_DATA[#Headers],0),FALSE),""))</f>
        <v>56.52</v>
      </c>
    </row>
    <row r="22" spans="2:25" s="1" customFormat="1" ht="15" customHeight="1" x14ac:dyDescent="0.2">
      <c r="B22" s="18">
        <f>COUNT($B$7:B21)+1</f>
        <v>15</v>
      </c>
      <c r="C22" s="19" t="str" cm="1">
        <f t="array" ref="C22">IF(INDEX(AXIS_DATA[Axis], B22)=0,"",INDEX(AXIS_DATA[Axis], B22))</f>
        <v>S7</v>
      </c>
      <c r="D22" s="22">
        <f>IFERROR(VLOOKUP(Level_Verification_Calculations[[#This Row],[Axis]],AXIS_DATA[],MATCH(Level_Verification_Calculations[[#Headers],[Station]],AXIS_DATA[#Headers],0),FALSE),"")</f>
        <v>1110.7090000000001</v>
      </c>
      <c r="E22" s="22" cm="1">
        <f t="array" ref="E2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634.50084734710003</v>
      </c>
      <c r="F22" s="23" cm="1">
        <f t="array" ref="F2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22" s="24" t="str">
        <f>IFERROR(VLOOKUP(Level_Verification_Calculations[[#This Row],[Segment Number]],PROFILE_DATA[],MATCH(Level_Verification_Calculations[[#Headers],[Segment Type]],PROFILE_DATA[#Headers],0),FALSE),"")</f>
        <v>Vertical Curve</v>
      </c>
      <c r="H22" s="16" t="str">
        <f>IFERROR(VLOOKUP(Level_Verification_Calculations[[#This Row],[Axis]],AXIS_DATA[],MATCH(Level_Verification_Calculations[[#Headers],[Section]],AXIS_DATA[#Headers],0),FALSE),"")</f>
        <v>Coordinate</v>
      </c>
      <c r="I22" s="16">
        <f>IFERROR(VLOOKUP(Level_Verification_Calculations[[#This Row],[Section]],SECTION_DATA[],MATCH(Level_Verification_Calculations[[#Headers],[Alignment-Structure Axis Offset]],SECTION_DATA[#Headers],0),0),"")</f>
        <v>3.25</v>
      </c>
      <c r="J22" s="16">
        <f>IFERROR(VLOOKUP(Level_Verification_Calculations[[#This Row],[Section]],SECTION_DATA[],MATCH(Level_Verification_Calculations[[#Headers],[Superelevation (e%)]],SECTION_DATA[#Headers],0),0),"")</f>
        <v>5.6000000000000001E-2</v>
      </c>
      <c r="K22" s="16">
        <f>IFERROR(VLOOKUP(Level_Verification_Calculations[[#This Row],[Section]],SECTION_DATA[],MATCH(Level_Verification_Calculations[[#Headers],[Asphalt Thickness]],SECTION_DATA[#Headers],0),0),"")</f>
        <v>0.06</v>
      </c>
      <c r="L22" s="24">
        <f>IFERROR(VLOOKUP(Level_Verification_Calculations[[#This Row],[Section]],SECTION_DATA[],2,FALSE)*Level_Verification_Calculations[[#This Row],[Superelevation (e%)]]+Level_Verification_Calculations[[#This Row],[Alignment Elevation]]-VLOOKUP(Level_Verification_Calculations[[#This Row],[Section]],SECTION_DATA[],4,FALSE),"")</f>
        <v>634.62284734710011</v>
      </c>
      <c r="M22" s="16" t="str">
        <f>IFERROR(VLOOKUP(Level_Verification_Calculations[[#This Row],[Axis]],AXIS_DATA[],MATCH(Level_Verification_Calculations[[#Headers],[Axis Type]],AXIS_DATA[#Headers],0),FALSE),"")</f>
        <v>Coordinate axis</v>
      </c>
      <c r="N22" s="16">
        <f>IFERROR(IF(Level_Verification_Calculations[[#This Row],[Axis Type]]="Fixed axis",0,VLOOKUP(Level_Verification_Calculations[[#This Row],[Section]],SECTION_DATA[],MATCH(Level_Verification_Calculations[[#Headers],[Bearing Height]],SECTION_DATA[#Headers],0),FALSE)),"")</f>
        <v>0</v>
      </c>
      <c r="O22" s="16">
        <f>IFERROR(VLOOKUP(Level_Verification_Calculations[[#This Row],[Axis]],AXIS_DATA[],MATCH(Level_Verification_Calculations[[#Headers],[Foundation Level]],AXIS_DATA[#Headers],0),FALSE),"")</f>
        <v>0</v>
      </c>
      <c r="P22" s="16">
        <f>IFERROR(VLOOKUP(Level_Verification_Calculations[[#This Row],[Axis]],AXIS_DATA[],MATCH(Level_Verification_Calculations[[#Headers],[Foundation Depth]],AXIS_DATA[#Headers],0),FALSE),"")</f>
        <v>0</v>
      </c>
      <c r="Q22" s="16">
        <f>IFERROR(Level_Verification_Calculations[[#This Row],[Foundation Level]]+Level_Verification_Calculations[[#This Row],[Foundation Depth]],"")</f>
        <v>0</v>
      </c>
      <c r="R22" s="21">
        <f>IFERROR(VLOOKUP(Level_Verification_Calculations[[#This Row],[Axis]],AXIS_DATA[],MATCH(Level_Verification_Calculations[[#Headers],[Pier Height (IFC DWG)]],AXIS_DATA[#Headers],0),FALSE),"")</f>
        <v>0</v>
      </c>
      <c r="S22" s="16">
        <f>IFERROR(VLOOKUP(Level_Verification_Calculations[[#This Row],[Section]],SECTION_DATA[],MATCH(Level_Verification_Calculations[[#Headers],[Superstructure Depth]],SECTION_DATA[#Headers],0),FALSE),"")</f>
        <v>1.5</v>
      </c>
      <c r="T22" s="16">
        <f>IFERROR(Level_Verification_Calculations[[#This Row],[Structure Elevation]]-Level_Verification_Calculations[[#This Row],[Superstructure Depth]]-Level_Verification_Calculations[[#This Row],[Bearing Height]],"")</f>
        <v>633.12284734710011</v>
      </c>
      <c r="U22" s="21">
        <f>IFERROR(Level_Verification_Calculations[[#This Row],[Pier Elevation]]-Level_Verification_Calculations[[#This Row],[Top of Foundation Concrete]],"")</f>
        <v>633.12284734710011</v>
      </c>
      <c r="V22" s="21">
        <f>IFERROR(Level_Verification_Calculations[[#This Row],[Pier Height (IFC DWG)]]-Level_Verification_Calculations[[#This Row],[Pier Height (Calculated)]],"")</f>
        <v>-633.12284734710011</v>
      </c>
      <c r="W22" s="83">
        <f>IF(Level_Verification_Calculations[[#This Row],[Axis]]="","",IFERROR(VLOOKUP(Level_Verification_Calculations[[#This Row],[Axis]],COORDINATE_DATA[],MATCH(Level_Verification_Calculations[[#Headers],[Axis Center
X Coordinate]],COORDINATE_DATA[#Headers],0),FALSE),""))</f>
        <v>676628.83299999998</v>
      </c>
      <c r="X22" s="83">
        <f>IF(Level_Verification_Calculations[[#This Row],[Axis]]="","",IFERROR(VLOOKUP(Level_Verification_Calculations[[#This Row],[Axis]],COORDINATE_DATA[],MATCH(Level_Verification_Calculations[[#Headers],[Axis Center
Y Coordinate]],COORDINATE_DATA[#Headers],0),FALSE),""))</f>
        <v>2704991.02</v>
      </c>
      <c r="Y22" s="83">
        <f>IF(Level_Verification_Calculations[[#This Row],[Axis]]="","",IFERROR(VLOOKUP(Level_Verification_Calculations[[#This Row],[Axis]],COORDINATE_DATA[],MATCH(Level_Verification_Calculations[[#Headers],[θ]],COORDINATE_DATA[#Headers],0),FALSE),""))</f>
        <v>61.433</v>
      </c>
    </row>
    <row r="23" spans="2:25" s="1" customFormat="1" ht="15" customHeight="1" x14ac:dyDescent="0.2">
      <c r="B23" s="18">
        <f>COUNT($B$7:B22)+1</f>
        <v>16</v>
      </c>
      <c r="C23" s="19" t="str" cm="1">
        <f t="array" ref="C23">IF(INDEX(AXIS_DATA[Axis], B23)=0,"",INDEX(AXIS_DATA[Axis], B23))</f>
        <v>E1</v>
      </c>
      <c r="D23" s="22">
        <f>IFERROR(VLOOKUP(Level_Verification_Calculations[[#This Row],[Axis]],AXIS_DATA[],MATCH(Level_Verification_Calculations[[#Headers],[Station]],AXIS_DATA[#Headers],0),FALSE),"")</f>
        <v>952.84500000000003</v>
      </c>
      <c r="E23" s="22" cm="1">
        <f t="array" ref="E2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633.72655215181544</v>
      </c>
      <c r="F23" s="23" cm="1">
        <f t="array" ref="F2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23" s="24" t="str">
        <f>IFERROR(VLOOKUP(Level_Verification_Calculations[[#This Row],[Segment Number]],PROFILE_DATA[],MATCH(Level_Verification_Calculations[[#Headers],[Segment Type]],PROFILE_DATA[#Headers],0),FALSE),"")</f>
        <v>Straight</v>
      </c>
      <c r="H23" s="16" t="str">
        <f>IFERROR(VLOOKUP(Level_Verification_Calculations[[#This Row],[Axis]],AXIS_DATA[],MATCH(Level_Verification_Calculations[[#Headers],[Section]],AXIS_DATA[#Headers],0),FALSE),"")</f>
        <v>Coordinate</v>
      </c>
      <c r="I23" s="16">
        <f>IFERROR(VLOOKUP(Level_Verification_Calculations[[#This Row],[Section]],SECTION_DATA[],MATCH(Level_Verification_Calculations[[#Headers],[Alignment-Structure Axis Offset]],SECTION_DATA[#Headers],0),0),"")</f>
        <v>3.25</v>
      </c>
      <c r="J23" s="16">
        <f>IFERROR(VLOOKUP(Level_Verification_Calculations[[#This Row],[Section]],SECTION_DATA[],MATCH(Level_Verification_Calculations[[#Headers],[Superelevation (e%)]],SECTION_DATA[#Headers],0),0),"")</f>
        <v>5.6000000000000001E-2</v>
      </c>
      <c r="K23" s="16">
        <f>IFERROR(VLOOKUP(Level_Verification_Calculations[[#This Row],[Section]],SECTION_DATA[],MATCH(Level_Verification_Calculations[[#Headers],[Asphalt Thickness]],SECTION_DATA[#Headers],0),0),"")</f>
        <v>0.06</v>
      </c>
      <c r="L23" s="24">
        <f>IFERROR(VLOOKUP(Level_Verification_Calculations[[#This Row],[Section]],SECTION_DATA[],2,FALSE)*Level_Verification_Calculations[[#This Row],[Superelevation (e%)]]+Level_Verification_Calculations[[#This Row],[Alignment Elevation]]-VLOOKUP(Level_Verification_Calculations[[#This Row],[Section]],SECTION_DATA[],4,FALSE),"")</f>
        <v>633.84855215181551</v>
      </c>
      <c r="M23" s="16" t="str">
        <f>IFERROR(VLOOKUP(Level_Verification_Calculations[[#This Row],[Axis]],AXIS_DATA[],MATCH(Level_Verification_Calculations[[#Headers],[Axis Type]],AXIS_DATA[#Headers],0),FALSE),"")</f>
        <v>Coordinate axis</v>
      </c>
      <c r="N23" s="16">
        <f>IFERROR(IF(Level_Verification_Calculations[[#This Row],[Axis Type]]="Fixed axis",0,VLOOKUP(Level_Verification_Calculations[[#This Row],[Section]],SECTION_DATA[],MATCH(Level_Verification_Calculations[[#Headers],[Bearing Height]],SECTION_DATA[#Headers],0),FALSE)),"")</f>
        <v>0</v>
      </c>
      <c r="O23" s="16">
        <f>IFERROR(VLOOKUP(Level_Verification_Calculations[[#This Row],[Axis]],AXIS_DATA[],MATCH(Level_Verification_Calculations[[#Headers],[Foundation Level]],AXIS_DATA[#Headers],0),FALSE),"")</f>
        <v>0</v>
      </c>
      <c r="P23" s="16">
        <f>IFERROR(VLOOKUP(Level_Verification_Calculations[[#This Row],[Axis]],AXIS_DATA[],MATCH(Level_Verification_Calculations[[#Headers],[Foundation Depth]],AXIS_DATA[#Headers],0),FALSE),"")</f>
        <v>0</v>
      </c>
      <c r="Q23" s="16">
        <f>IFERROR(Level_Verification_Calculations[[#This Row],[Foundation Level]]+Level_Verification_Calculations[[#This Row],[Foundation Depth]],"")</f>
        <v>0</v>
      </c>
      <c r="R23" s="21">
        <f>IFERROR(VLOOKUP(Level_Verification_Calculations[[#This Row],[Axis]],AXIS_DATA[],MATCH(Level_Verification_Calculations[[#Headers],[Pier Height (IFC DWG)]],AXIS_DATA[#Headers],0),FALSE),"")</f>
        <v>0</v>
      </c>
      <c r="S23" s="16">
        <f>IFERROR(VLOOKUP(Level_Verification_Calculations[[#This Row],[Section]],SECTION_DATA[],MATCH(Level_Verification_Calculations[[#Headers],[Superstructure Depth]],SECTION_DATA[#Headers],0),FALSE),"")</f>
        <v>1.5</v>
      </c>
      <c r="T23" s="16">
        <f>IFERROR(Level_Verification_Calculations[[#This Row],[Structure Elevation]]-Level_Verification_Calculations[[#This Row],[Superstructure Depth]]-Level_Verification_Calculations[[#This Row],[Bearing Height]],"")</f>
        <v>632.34855215181551</v>
      </c>
      <c r="U23" s="21">
        <f>IFERROR(Level_Verification_Calculations[[#This Row],[Pier Elevation]]-Level_Verification_Calculations[[#This Row],[Top of Foundation Concrete]],"")</f>
        <v>632.34855215181551</v>
      </c>
      <c r="V23" s="21">
        <f>IFERROR(Level_Verification_Calculations[[#This Row],[Pier Height (IFC DWG)]]-Level_Verification_Calculations[[#This Row],[Pier Height (Calculated)]],"")</f>
        <v>-632.34855215181551</v>
      </c>
      <c r="W23" s="83">
        <f>IF(Level_Verification_Calculations[[#This Row],[Axis]]="","",IFERROR(VLOOKUP(Level_Verification_Calculations[[#This Row],[Axis]],COORDINATE_DATA[],MATCH(Level_Verification_Calculations[[#Headers],[Axis Center
X Coordinate]],COORDINATE_DATA[#Headers],0),FALSE),""))</f>
        <v>676508.97100000002</v>
      </c>
      <c r="X23" s="83">
        <f>IF(Level_Verification_Calculations[[#This Row],[Axis]]="","",IFERROR(VLOOKUP(Level_Verification_Calculations[[#This Row],[Axis]],COORDINATE_DATA[],MATCH(Level_Verification_Calculations[[#Headers],[Axis Center
Y Coordinate]],COORDINATE_DATA[#Headers],0),FALSE),""))</f>
        <v>2705108.6359999999</v>
      </c>
      <c r="Y23" s="83">
        <f>IF(Level_Verification_Calculations[[#This Row],[Axis]]="","",IFERROR(VLOOKUP(Level_Verification_Calculations[[#This Row],[Axis]],COORDINATE_DATA[],MATCH(Level_Verification_Calculations[[#Headers],[θ]],COORDINATE_DATA[#Headers],0),FALSE),""))</f>
        <v>27.466000000000001</v>
      </c>
    </row>
    <row r="24" spans="2:25" s="1" customFormat="1" ht="15" customHeight="1" x14ac:dyDescent="0.2">
      <c r="B24" s="18">
        <f>COUNT($B$7:B23)+1</f>
        <v>17</v>
      </c>
      <c r="C24" s="19" t="str" cm="1">
        <f t="array" ref="C24">IF(INDEX(AXIS_DATA[Axis], B24)=0,"",INDEX(AXIS_DATA[Axis], B24))</f>
        <v>E2</v>
      </c>
      <c r="D24" s="22">
        <f>IFERROR(VLOOKUP(Level_Verification_Calculations[[#This Row],[Axis]],AXIS_DATA[],MATCH(Level_Verification_Calculations[[#Headers],[Station]],AXIS_DATA[#Headers],0),FALSE),"")</f>
        <v>1122.366</v>
      </c>
      <c r="E24" s="22" cm="1">
        <f t="array" ref="E2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634.48563816777505</v>
      </c>
      <c r="F24" s="23" cm="1">
        <f t="array" ref="F2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24" s="24" t="str">
        <f>IFERROR(VLOOKUP(Level_Verification_Calculations[[#This Row],[Segment Number]],PROFILE_DATA[],MATCH(Level_Verification_Calculations[[#Headers],[Segment Type]],PROFILE_DATA[#Headers],0),FALSE),"")</f>
        <v>Vertical Curve</v>
      </c>
      <c r="H24" s="16" t="str">
        <f>IFERROR(VLOOKUP(Level_Verification_Calculations[[#This Row],[Axis]],AXIS_DATA[],MATCH(Level_Verification_Calculations[[#Headers],[Section]],AXIS_DATA[#Headers],0),FALSE),"")</f>
        <v>Coordinate</v>
      </c>
      <c r="I24" s="16">
        <f>IFERROR(VLOOKUP(Level_Verification_Calculations[[#This Row],[Section]],SECTION_DATA[],MATCH(Level_Verification_Calculations[[#Headers],[Alignment-Structure Axis Offset]],SECTION_DATA[#Headers],0),0),"")</f>
        <v>3.25</v>
      </c>
      <c r="J24" s="16">
        <f>IFERROR(VLOOKUP(Level_Verification_Calculations[[#This Row],[Section]],SECTION_DATA[],MATCH(Level_Verification_Calculations[[#Headers],[Superelevation (e%)]],SECTION_DATA[#Headers],0),0),"")</f>
        <v>5.6000000000000001E-2</v>
      </c>
      <c r="K24" s="16">
        <f>IFERROR(VLOOKUP(Level_Verification_Calculations[[#This Row],[Section]],SECTION_DATA[],MATCH(Level_Verification_Calculations[[#Headers],[Asphalt Thickness]],SECTION_DATA[#Headers],0),0),"")</f>
        <v>0.06</v>
      </c>
      <c r="L24" s="24">
        <f>IFERROR(VLOOKUP(Level_Verification_Calculations[[#This Row],[Section]],SECTION_DATA[],2,FALSE)*Level_Verification_Calculations[[#This Row],[Superelevation (e%)]]+Level_Verification_Calculations[[#This Row],[Alignment Elevation]]-VLOOKUP(Level_Verification_Calculations[[#This Row],[Section]],SECTION_DATA[],4,FALSE),"")</f>
        <v>634.60763816777512</v>
      </c>
      <c r="M24" s="16" t="str">
        <f>IFERROR(VLOOKUP(Level_Verification_Calculations[[#This Row],[Axis]],AXIS_DATA[],MATCH(Level_Verification_Calculations[[#Headers],[Axis Type]],AXIS_DATA[#Headers],0),FALSE),"")</f>
        <v>Coordinate axis</v>
      </c>
      <c r="N24" s="16">
        <f>IFERROR(IF(Level_Verification_Calculations[[#This Row],[Axis Type]]="Fixed axis",0,VLOOKUP(Level_Verification_Calculations[[#This Row],[Section]],SECTION_DATA[],MATCH(Level_Verification_Calculations[[#Headers],[Bearing Height]],SECTION_DATA[#Headers],0),FALSE)),"")</f>
        <v>0</v>
      </c>
      <c r="O24" s="16">
        <f>IFERROR(VLOOKUP(Level_Verification_Calculations[[#This Row],[Axis]],AXIS_DATA[],MATCH(Level_Verification_Calculations[[#Headers],[Foundation Level]],AXIS_DATA[#Headers],0),FALSE),"")</f>
        <v>0</v>
      </c>
      <c r="P24" s="16">
        <f>IFERROR(VLOOKUP(Level_Verification_Calculations[[#This Row],[Axis]],AXIS_DATA[],MATCH(Level_Verification_Calculations[[#Headers],[Foundation Depth]],AXIS_DATA[#Headers],0),FALSE),"")</f>
        <v>0</v>
      </c>
      <c r="Q24" s="16">
        <f>IFERROR(Level_Verification_Calculations[[#This Row],[Foundation Level]]+Level_Verification_Calculations[[#This Row],[Foundation Depth]],"")</f>
        <v>0</v>
      </c>
      <c r="R24" s="21">
        <f>IFERROR(VLOOKUP(Level_Verification_Calculations[[#This Row],[Axis]],AXIS_DATA[],MATCH(Level_Verification_Calculations[[#Headers],[Pier Height (IFC DWG)]],AXIS_DATA[#Headers],0),FALSE),"")</f>
        <v>0</v>
      </c>
      <c r="S24" s="16">
        <f>IFERROR(VLOOKUP(Level_Verification_Calculations[[#This Row],[Section]],SECTION_DATA[],MATCH(Level_Verification_Calculations[[#Headers],[Superstructure Depth]],SECTION_DATA[#Headers],0),FALSE),"")</f>
        <v>1.5</v>
      </c>
      <c r="T24" s="16">
        <f>IFERROR(Level_Verification_Calculations[[#This Row],[Structure Elevation]]-Level_Verification_Calculations[[#This Row],[Superstructure Depth]]-Level_Verification_Calculations[[#This Row],[Bearing Height]],"")</f>
        <v>633.10763816777512</v>
      </c>
      <c r="U24" s="21">
        <f>IFERROR(Level_Verification_Calculations[[#This Row],[Pier Elevation]]-Level_Verification_Calculations[[#This Row],[Top of Foundation Concrete]],"")</f>
        <v>633.10763816777512</v>
      </c>
      <c r="V24" s="21">
        <f>IFERROR(Level_Verification_Calculations[[#This Row],[Pier Height (IFC DWG)]]-Level_Verification_Calculations[[#This Row],[Pier Height (Calculated)]],"")</f>
        <v>-633.10763816777512</v>
      </c>
      <c r="W24" s="83">
        <f>IF(Level_Verification_Calculations[[#This Row],[Axis]]="","",IFERROR(VLOOKUP(Level_Verification_Calculations[[#This Row],[Axis]],COORDINATE_DATA[],MATCH(Level_Verification_Calculations[[#Headers],[Axis Center
X Coordinate]],COORDINATE_DATA[#Headers],0),FALSE),""))</f>
        <v>676629.55099999998</v>
      </c>
      <c r="X24" s="83">
        <f>IF(Level_Verification_Calculations[[#This Row],[Axis]]="","",IFERROR(VLOOKUP(Level_Verification_Calculations[[#This Row],[Axis]],COORDINATE_DATA[],MATCH(Level_Verification_Calculations[[#Headers],[Axis Center
Y Coordinate]],COORDINATE_DATA[#Headers],0),FALSE),""))</f>
        <v>2704990.6680000001</v>
      </c>
      <c r="Y24" s="83">
        <f>IF(Level_Verification_Calculations[[#This Row],[Axis]]="","",IFERROR(VLOOKUP(Level_Verification_Calculations[[#This Row],[Axis]],COORDINATE_DATA[],MATCH(Level_Verification_Calculations[[#Headers],[θ]],COORDINATE_DATA[#Headers],0),FALSE),""))</f>
        <v>63.79</v>
      </c>
    </row>
    <row r="25" spans="2:25" s="1" customFormat="1" ht="15" customHeight="1" x14ac:dyDescent="0.2">
      <c r="B25" s="18">
        <f>COUNT($B$7:B24)+1</f>
        <v>18</v>
      </c>
      <c r="C25" s="19" t="str" cm="1">
        <f t="array" ref="C25">IF(INDEX(AXIS_DATA[Axis], B25)=0,"",INDEX(AXIS_DATA[Axis], B25))</f>
        <v/>
      </c>
      <c r="D25" s="22" t="str">
        <f>IFERROR(VLOOKUP(Level_Verification_Calculations[[#This Row],[Axis]],AXIS_DATA[],MATCH(Level_Verification_Calculations[[#Headers],[Station]],AXIS_DATA[#Headers],0),FALSE),"")</f>
        <v/>
      </c>
      <c r="E25" s="22" t="str" cm="1">
        <f t="array" ref="E2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5" s="23" t="str" cm="1">
        <f t="array" ref="F2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5" s="24" t="str">
        <f>IFERROR(VLOOKUP(Level_Verification_Calculations[[#This Row],[Segment Number]],PROFILE_DATA[],MATCH(Level_Verification_Calculations[[#Headers],[Segment Type]],PROFILE_DATA[#Headers],0),FALSE),"")</f>
        <v/>
      </c>
      <c r="H25" s="16" t="str">
        <f>IFERROR(VLOOKUP(Level_Verification_Calculations[[#This Row],[Axis]],AXIS_DATA[],MATCH(Level_Verification_Calculations[[#Headers],[Section]],AXIS_DATA[#Headers],0),FALSE),"")</f>
        <v/>
      </c>
      <c r="I25" s="16" t="str">
        <f>IFERROR(VLOOKUP(Level_Verification_Calculations[[#This Row],[Section]],SECTION_DATA[],MATCH(Level_Verification_Calculations[[#Headers],[Alignment-Structure Axis Offset]],SECTION_DATA[#Headers],0),0),"")</f>
        <v/>
      </c>
      <c r="J25" s="16" t="str">
        <f>IFERROR(VLOOKUP(Level_Verification_Calculations[[#This Row],[Section]],SECTION_DATA[],MATCH(Level_Verification_Calculations[[#Headers],[Superelevation (e%)]],SECTION_DATA[#Headers],0),0),"")</f>
        <v/>
      </c>
      <c r="K25" s="16" t="str">
        <f>IFERROR(VLOOKUP(Level_Verification_Calculations[[#This Row],[Section]],SECTION_DATA[],MATCH(Level_Verification_Calculations[[#Headers],[Asphalt Thickness]],SECTION_DATA[#Headers],0),0),"")</f>
        <v/>
      </c>
      <c r="L2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5" s="16" t="str">
        <f>IFERROR(VLOOKUP(Level_Verification_Calculations[[#This Row],[Axis]],AXIS_DATA[],MATCH(Level_Verification_Calculations[[#Headers],[Axis Type]],AXIS_DATA[#Headers],0),FALSE),"")</f>
        <v/>
      </c>
      <c r="N25" s="16" t="str">
        <f>IFERROR(IF(Level_Verification_Calculations[[#This Row],[Axis Type]]="Fixed axis",0,VLOOKUP(Level_Verification_Calculations[[#This Row],[Section]],SECTION_DATA[],MATCH(Level_Verification_Calculations[[#Headers],[Bearing Height]],SECTION_DATA[#Headers],0),FALSE)),"")</f>
        <v/>
      </c>
      <c r="O25" s="16" t="str">
        <f>IFERROR(VLOOKUP(Level_Verification_Calculations[[#This Row],[Axis]],AXIS_DATA[],MATCH(Level_Verification_Calculations[[#Headers],[Foundation Level]],AXIS_DATA[#Headers],0),FALSE),"")</f>
        <v/>
      </c>
      <c r="P25" s="16" t="str">
        <f>IFERROR(VLOOKUP(Level_Verification_Calculations[[#This Row],[Axis]],AXIS_DATA[],MATCH(Level_Verification_Calculations[[#Headers],[Foundation Depth]],AXIS_DATA[#Headers],0),FALSE),"")</f>
        <v/>
      </c>
      <c r="Q25" s="16" t="str">
        <f>IFERROR(Level_Verification_Calculations[[#This Row],[Foundation Level]]+Level_Verification_Calculations[[#This Row],[Foundation Depth]],"")</f>
        <v/>
      </c>
      <c r="R25" s="21" t="str">
        <f>IFERROR(VLOOKUP(Level_Verification_Calculations[[#This Row],[Axis]],AXIS_DATA[],MATCH(Level_Verification_Calculations[[#Headers],[Pier Height (IFC DWG)]],AXIS_DATA[#Headers],0),FALSE),"")</f>
        <v/>
      </c>
      <c r="S25" s="16" t="str">
        <f>IFERROR(VLOOKUP(Level_Verification_Calculations[[#This Row],[Section]],SECTION_DATA[],MATCH(Level_Verification_Calculations[[#Headers],[Superstructure Depth]],SECTION_DATA[#Headers],0),FALSE),"")</f>
        <v/>
      </c>
      <c r="T25" s="16" t="str">
        <f>IFERROR(Level_Verification_Calculations[[#This Row],[Structure Elevation]]-Level_Verification_Calculations[[#This Row],[Superstructure Depth]]-Level_Verification_Calculations[[#This Row],[Bearing Height]],"")</f>
        <v/>
      </c>
      <c r="U25" s="21" t="str">
        <f>IFERROR(Level_Verification_Calculations[[#This Row],[Pier Elevation]]-Level_Verification_Calculations[[#This Row],[Top of Foundation Concrete]],"")</f>
        <v/>
      </c>
      <c r="V25" s="21" t="str">
        <f>IFERROR(Level_Verification_Calculations[[#This Row],[Pier Height (IFC DWG)]]-Level_Verification_Calculations[[#This Row],[Pier Height (Calculated)]],"")</f>
        <v/>
      </c>
      <c r="W25" s="83" t="str">
        <f>IF(Level_Verification_Calculations[[#This Row],[Axis]]="","",IFERROR(VLOOKUP(Level_Verification_Calculations[[#This Row],[Axis]],COORDINATE_DATA[],MATCH(Level_Verification_Calculations[[#Headers],[Axis Center
X Coordinate]],COORDINATE_DATA[#Headers],0),FALSE),""))</f>
        <v/>
      </c>
      <c r="X25" s="83" t="str">
        <f>IF(Level_Verification_Calculations[[#This Row],[Axis]]="","",IFERROR(VLOOKUP(Level_Verification_Calculations[[#This Row],[Axis]],COORDINATE_DATA[],MATCH(Level_Verification_Calculations[[#Headers],[Axis Center
Y Coordinate]],COORDINATE_DATA[#Headers],0),FALSE),""))</f>
        <v/>
      </c>
      <c r="Y25" s="83" t="str">
        <f>IF(Level_Verification_Calculations[[#This Row],[Axis]]="","",IFERROR(VLOOKUP(Level_Verification_Calculations[[#This Row],[Axis]],COORDINATE_DATA[],MATCH(Level_Verification_Calculations[[#Headers],[θ]],COORDINATE_DATA[#Headers],0),FALSE),""))</f>
        <v/>
      </c>
    </row>
    <row r="26" spans="2:25" s="1" customFormat="1" ht="15" customHeight="1" x14ac:dyDescent="0.2">
      <c r="B26" s="18">
        <f>COUNT($B$7:B25)+1</f>
        <v>19</v>
      </c>
      <c r="C26" s="19" t="str" cm="1">
        <f t="array" ref="C26">IF(INDEX(AXIS_DATA[Axis], B26)=0,"",INDEX(AXIS_DATA[Axis], B26))</f>
        <v/>
      </c>
      <c r="D26" s="22" t="str">
        <f>IFERROR(VLOOKUP(Level_Verification_Calculations[[#This Row],[Axis]],AXIS_DATA[],MATCH(Level_Verification_Calculations[[#Headers],[Station]],AXIS_DATA[#Headers],0),FALSE),"")</f>
        <v/>
      </c>
      <c r="E26" s="22" t="str" cm="1">
        <f t="array" ref="E2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6" s="23" t="str" cm="1">
        <f t="array" ref="F2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6" s="24" t="str">
        <f>IFERROR(VLOOKUP(Level_Verification_Calculations[[#This Row],[Segment Number]],PROFILE_DATA[],MATCH(Level_Verification_Calculations[[#Headers],[Segment Type]],PROFILE_DATA[#Headers],0),FALSE),"")</f>
        <v/>
      </c>
      <c r="H26" s="16" t="str">
        <f>IFERROR(VLOOKUP(Level_Verification_Calculations[[#This Row],[Axis]],AXIS_DATA[],MATCH(Level_Verification_Calculations[[#Headers],[Section]],AXIS_DATA[#Headers],0),FALSE),"")</f>
        <v/>
      </c>
      <c r="I26" s="16" t="str">
        <f>IFERROR(VLOOKUP(Level_Verification_Calculations[[#This Row],[Section]],SECTION_DATA[],MATCH(Level_Verification_Calculations[[#Headers],[Alignment-Structure Axis Offset]],SECTION_DATA[#Headers],0),0),"")</f>
        <v/>
      </c>
      <c r="J26" s="16" t="str">
        <f>IFERROR(VLOOKUP(Level_Verification_Calculations[[#This Row],[Section]],SECTION_DATA[],MATCH(Level_Verification_Calculations[[#Headers],[Superelevation (e%)]],SECTION_DATA[#Headers],0),0),"")</f>
        <v/>
      </c>
      <c r="K26" s="16" t="str">
        <f>IFERROR(VLOOKUP(Level_Verification_Calculations[[#This Row],[Section]],SECTION_DATA[],MATCH(Level_Verification_Calculations[[#Headers],[Asphalt Thickness]],SECTION_DATA[#Headers],0),0),"")</f>
        <v/>
      </c>
      <c r="L2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6" s="16" t="str">
        <f>IFERROR(VLOOKUP(Level_Verification_Calculations[[#This Row],[Axis]],AXIS_DATA[],MATCH(Level_Verification_Calculations[[#Headers],[Axis Type]],AXIS_DATA[#Headers],0),FALSE),"")</f>
        <v/>
      </c>
      <c r="N26" s="16" t="str">
        <f>IFERROR(IF(Level_Verification_Calculations[[#This Row],[Axis Type]]="Fixed axis",0,VLOOKUP(Level_Verification_Calculations[[#This Row],[Section]],SECTION_DATA[],MATCH(Level_Verification_Calculations[[#Headers],[Bearing Height]],SECTION_DATA[#Headers],0),FALSE)),"")</f>
        <v/>
      </c>
      <c r="O26" s="16" t="str">
        <f>IFERROR(VLOOKUP(Level_Verification_Calculations[[#This Row],[Axis]],AXIS_DATA[],MATCH(Level_Verification_Calculations[[#Headers],[Foundation Level]],AXIS_DATA[#Headers],0),FALSE),"")</f>
        <v/>
      </c>
      <c r="P26" s="16" t="str">
        <f>IFERROR(VLOOKUP(Level_Verification_Calculations[[#This Row],[Axis]],AXIS_DATA[],MATCH(Level_Verification_Calculations[[#Headers],[Foundation Depth]],AXIS_DATA[#Headers],0),FALSE),"")</f>
        <v/>
      </c>
      <c r="Q26" s="16" t="str">
        <f>IFERROR(Level_Verification_Calculations[[#This Row],[Foundation Level]]+Level_Verification_Calculations[[#This Row],[Foundation Depth]],"")</f>
        <v/>
      </c>
      <c r="R26" s="21" t="str">
        <f>IFERROR(VLOOKUP(Level_Verification_Calculations[[#This Row],[Axis]],AXIS_DATA[],MATCH(Level_Verification_Calculations[[#Headers],[Pier Height (IFC DWG)]],AXIS_DATA[#Headers],0),FALSE),"")</f>
        <v/>
      </c>
      <c r="S26" s="16" t="str">
        <f>IFERROR(VLOOKUP(Level_Verification_Calculations[[#This Row],[Section]],SECTION_DATA[],MATCH(Level_Verification_Calculations[[#Headers],[Superstructure Depth]],SECTION_DATA[#Headers],0),FALSE),"")</f>
        <v/>
      </c>
      <c r="T26" s="16" t="str">
        <f>IFERROR(Level_Verification_Calculations[[#This Row],[Structure Elevation]]-Level_Verification_Calculations[[#This Row],[Superstructure Depth]]-Level_Verification_Calculations[[#This Row],[Bearing Height]],"")</f>
        <v/>
      </c>
      <c r="U26" s="21" t="str">
        <f>IFERROR(Level_Verification_Calculations[[#This Row],[Pier Elevation]]-Level_Verification_Calculations[[#This Row],[Top of Foundation Concrete]],"")</f>
        <v/>
      </c>
      <c r="V26" s="21" t="str">
        <f>IFERROR(Level_Verification_Calculations[[#This Row],[Pier Height (IFC DWG)]]-Level_Verification_Calculations[[#This Row],[Pier Height (Calculated)]],"")</f>
        <v/>
      </c>
      <c r="W26" s="83" t="str">
        <f>IF(Level_Verification_Calculations[[#This Row],[Axis]]="","",IFERROR(VLOOKUP(Level_Verification_Calculations[[#This Row],[Axis]],COORDINATE_DATA[],MATCH(Level_Verification_Calculations[[#Headers],[Axis Center
X Coordinate]],COORDINATE_DATA[#Headers],0),FALSE),""))</f>
        <v/>
      </c>
      <c r="X26" s="83" t="str">
        <f>IF(Level_Verification_Calculations[[#This Row],[Axis]]="","",IFERROR(VLOOKUP(Level_Verification_Calculations[[#This Row],[Axis]],COORDINATE_DATA[],MATCH(Level_Verification_Calculations[[#Headers],[Axis Center
Y Coordinate]],COORDINATE_DATA[#Headers],0),FALSE),""))</f>
        <v/>
      </c>
      <c r="Y26" s="83" t="str">
        <f>IF(Level_Verification_Calculations[[#This Row],[Axis]]="","",IFERROR(VLOOKUP(Level_Verification_Calculations[[#This Row],[Axis]],COORDINATE_DATA[],MATCH(Level_Verification_Calculations[[#Headers],[θ]],COORDINATE_DATA[#Headers],0),FALSE),""))</f>
        <v/>
      </c>
    </row>
    <row r="27" spans="2:25" s="1" customFormat="1" ht="15" customHeight="1" x14ac:dyDescent="0.2">
      <c r="B27" s="18">
        <f>COUNT($B$7:B26)+1</f>
        <v>20</v>
      </c>
      <c r="C27" s="19" t="str" cm="1">
        <f t="array" ref="C27">IF(INDEX(AXIS_DATA[Axis], B27)=0,"",INDEX(AXIS_DATA[Axis], B27))</f>
        <v/>
      </c>
      <c r="D27" s="22" t="str">
        <f>IFERROR(VLOOKUP(Level_Verification_Calculations[[#This Row],[Axis]],AXIS_DATA[],MATCH(Level_Verification_Calculations[[#Headers],[Station]],AXIS_DATA[#Headers],0),FALSE),"")</f>
        <v/>
      </c>
      <c r="E27" s="22" t="str" cm="1">
        <f t="array" ref="E2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7" s="23" t="str" cm="1">
        <f t="array" ref="F2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7" s="24" t="str">
        <f>IFERROR(VLOOKUP(Level_Verification_Calculations[[#This Row],[Segment Number]],PROFILE_DATA[],MATCH(Level_Verification_Calculations[[#Headers],[Segment Type]],PROFILE_DATA[#Headers],0),FALSE),"")</f>
        <v/>
      </c>
      <c r="H27" s="16" t="str">
        <f>IFERROR(VLOOKUP(Level_Verification_Calculations[[#This Row],[Axis]],AXIS_DATA[],MATCH(Level_Verification_Calculations[[#Headers],[Section]],AXIS_DATA[#Headers],0),FALSE),"")</f>
        <v/>
      </c>
      <c r="I27" s="16" t="str">
        <f>IFERROR(VLOOKUP(Level_Verification_Calculations[[#This Row],[Section]],SECTION_DATA[],MATCH(Level_Verification_Calculations[[#Headers],[Alignment-Structure Axis Offset]],SECTION_DATA[#Headers],0),0),"")</f>
        <v/>
      </c>
      <c r="J27" s="16" t="str">
        <f>IFERROR(VLOOKUP(Level_Verification_Calculations[[#This Row],[Section]],SECTION_DATA[],MATCH(Level_Verification_Calculations[[#Headers],[Superelevation (e%)]],SECTION_DATA[#Headers],0),0),"")</f>
        <v/>
      </c>
      <c r="K27" s="16" t="str">
        <f>IFERROR(VLOOKUP(Level_Verification_Calculations[[#This Row],[Section]],SECTION_DATA[],MATCH(Level_Verification_Calculations[[#Headers],[Asphalt Thickness]],SECTION_DATA[#Headers],0),0),"")</f>
        <v/>
      </c>
      <c r="L2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7" s="16" t="str">
        <f>IFERROR(VLOOKUP(Level_Verification_Calculations[[#This Row],[Axis]],AXIS_DATA[],MATCH(Level_Verification_Calculations[[#Headers],[Axis Type]],AXIS_DATA[#Headers],0),FALSE),"")</f>
        <v/>
      </c>
      <c r="N27" s="16" t="str">
        <f>IFERROR(IF(Level_Verification_Calculations[[#This Row],[Axis Type]]="Fixed axis",0,VLOOKUP(Level_Verification_Calculations[[#This Row],[Section]],SECTION_DATA[],MATCH(Level_Verification_Calculations[[#Headers],[Bearing Height]],SECTION_DATA[#Headers],0),FALSE)),"")</f>
        <v/>
      </c>
      <c r="O27" s="16" t="str">
        <f>IFERROR(VLOOKUP(Level_Verification_Calculations[[#This Row],[Axis]],AXIS_DATA[],MATCH(Level_Verification_Calculations[[#Headers],[Foundation Level]],AXIS_DATA[#Headers],0),FALSE),"")</f>
        <v/>
      </c>
      <c r="P27" s="16" t="str">
        <f>IFERROR(VLOOKUP(Level_Verification_Calculations[[#This Row],[Axis]],AXIS_DATA[],MATCH(Level_Verification_Calculations[[#Headers],[Foundation Depth]],AXIS_DATA[#Headers],0),FALSE),"")</f>
        <v/>
      </c>
      <c r="Q27" s="16" t="str">
        <f>IFERROR(Level_Verification_Calculations[[#This Row],[Foundation Level]]+Level_Verification_Calculations[[#This Row],[Foundation Depth]],"")</f>
        <v/>
      </c>
      <c r="R27" s="21" t="str">
        <f>IFERROR(VLOOKUP(Level_Verification_Calculations[[#This Row],[Axis]],AXIS_DATA[],MATCH(Level_Verification_Calculations[[#Headers],[Pier Height (IFC DWG)]],AXIS_DATA[#Headers],0),FALSE),"")</f>
        <v/>
      </c>
      <c r="S27" s="16" t="str">
        <f>IFERROR(VLOOKUP(Level_Verification_Calculations[[#This Row],[Section]],SECTION_DATA[],MATCH(Level_Verification_Calculations[[#Headers],[Superstructure Depth]],SECTION_DATA[#Headers],0),FALSE),"")</f>
        <v/>
      </c>
      <c r="T27" s="16" t="str">
        <f>IFERROR(Level_Verification_Calculations[[#This Row],[Structure Elevation]]-Level_Verification_Calculations[[#This Row],[Superstructure Depth]]-Level_Verification_Calculations[[#This Row],[Bearing Height]],"")</f>
        <v/>
      </c>
      <c r="U27" s="21" t="str">
        <f>IFERROR(Level_Verification_Calculations[[#This Row],[Pier Elevation]]-Level_Verification_Calculations[[#This Row],[Top of Foundation Concrete]],"")</f>
        <v/>
      </c>
      <c r="V27" s="21" t="str">
        <f>IFERROR(Level_Verification_Calculations[[#This Row],[Pier Height (IFC DWG)]]-Level_Verification_Calculations[[#This Row],[Pier Height (Calculated)]],"")</f>
        <v/>
      </c>
      <c r="W27" s="83" t="str">
        <f>IF(Level_Verification_Calculations[[#This Row],[Axis]]="","",IFERROR(VLOOKUP(Level_Verification_Calculations[[#This Row],[Axis]],COORDINATE_DATA[],MATCH(Level_Verification_Calculations[[#Headers],[Axis Center
X Coordinate]],COORDINATE_DATA[#Headers],0),FALSE),""))</f>
        <v/>
      </c>
      <c r="X27" s="83" t="str">
        <f>IF(Level_Verification_Calculations[[#This Row],[Axis]]="","",IFERROR(VLOOKUP(Level_Verification_Calculations[[#This Row],[Axis]],COORDINATE_DATA[],MATCH(Level_Verification_Calculations[[#Headers],[Axis Center
Y Coordinate]],COORDINATE_DATA[#Headers],0),FALSE),""))</f>
        <v/>
      </c>
      <c r="Y27" s="83" t="str">
        <f>IF(Level_Verification_Calculations[[#This Row],[Axis]]="","",IFERROR(VLOOKUP(Level_Verification_Calculations[[#This Row],[Axis]],COORDINATE_DATA[],MATCH(Level_Verification_Calculations[[#Headers],[θ]],COORDINATE_DATA[#Headers],0),FALSE),""))</f>
        <v/>
      </c>
    </row>
    <row r="28" spans="2:25" s="1" customFormat="1" ht="15" customHeight="1" x14ac:dyDescent="0.2">
      <c r="B28" s="18">
        <f>COUNT($B$7:B27)+1</f>
        <v>21</v>
      </c>
      <c r="C28" s="19" t="str" cm="1">
        <f t="array" ref="C28">IF(INDEX(AXIS_DATA[Axis], B28)=0,"",INDEX(AXIS_DATA[Axis], B28))</f>
        <v/>
      </c>
      <c r="D28" s="22" t="str">
        <f>IFERROR(VLOOKUP(Level_Verification_Calculations[[#This Row],[Axis]],AXIS_DATA[],MATCH(Level_Verification_Calculations[[#Headers],[Station]],AXIS_DATA[#Headers],0),FALSE),"")</f>
        <v/>
      </c>
      <c r="E28" s="22" t="str" cm="1">
        <f t="array" ref="E2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8" s="23" t="str" cm="1">
        <f t="array" ref="F2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8" s="24" t="str">
        <f>IFERROR(VLOOKUP(Level_Verification_Calculations[[#This Row],[Segment Number]],PROFILE_DATA[],MATCH(Level_Verification_Calculations[[#Headers],[Segment Type]],PROFILE_DATA[#Headers],0),FALSE),"")</f>
        <v/>
      </c>
      <c r="H28" s="16" t="str">
        <f>IFERROR(VLOOKUP(Level_Verification_Calculations[[#This Row],[Axis]],AXIS_DATA[],MATCH(Level_Verification_Calculations[[#Headers],[Section]],AXIS_DATA[#Headers],0),FALSE),"")</f>
        <v/>
      </c>
      <c r="I28" s="16" t="str">
        <f>IFERROR(VLOOKUP(Level_Verification_Calculations[[#This Row],[Section]],SECTION_DATA[],MATCH(Level_Verification_Calculations[[#Headers],[Alignment-Structure Axis Offset]],SECTION_DATA[#Headers],0),0),"")</f>
        <v/>
      </c>
      <c r="J28" s="16" t="str">
        <f>IFERROR(VLOOKUP(Level_Verification_Calculations[[#This Row],[Section]],SECTION_DATA[],MATCH(Level_Verification_Calculations[[#Headers],[Superelevation (e%)]],SECTION_DATA[#Headers],0),0),"")</f>
        <v/>
      </c>
      <c r="K28" s="16" t="str">
        <f>IFERROR(VLOOKUP(Level_Verification_Calculations[[#This Row],[Section]],SECTION_DATA[],MATCH(Level_Verification_Calculations[[#Headers],[Asphalt Thickness]],SECTION_DATA[#Headers],0),0),"")</f>
        <v/>
      </c>
      <c r="L28"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8" s="16" t="str">
        <f>IFERROR(VLOOKUP(Level_Verification_Calculations[[#This Row],[Axis]],AXIS_DATA[],MATCH(Level_Verification_Calculations[[#Headers],[Axis Type]],AXIS_DATA[#Headers],0),FALSE),"")</f>
        <v/>
      </c>
      <c r="N28" s="16" t="str">
        <f>IFERROR(IF(Level_Verification_Calculations[[#This Row],[Axis Type]]="Fixed axis",0,VLOOKUP(Level_Verification_Calculations[[#This Row],[Section]],SECTION_DATA[],MATCH(Level_Verification_Calculations[[#Headers],[Bearing Height]],SECTION_DATA[#Headers],0),FALSE)),"")</f>
        <v/>
      </c>
      <c r="O28" s="16" t="str">
        <f>IFERROR(VLOOKUP(Level_Verification_Calculations[[#This Row],[Axis]],AXIS_DATA[],MATCH(Level_Verification_Calculations[[#Headers],[Foundation Level]],AXIS_DATA[#Headers],0),FALSE),"")</f>
        <v/>
      </c>
      <c r="P28" s="16" t="str">
        <f>IFERROR(VLOOKUP(Level_Verification_Calculations[[#This Row],[Axis]],AXIS_DATA[],MATCH(Level_Verification_Calculations[[#Headers],[Foundation Depth]],AXIS_DATA[#Headers],0),FALSE),"")</f>
        <v/>
      </c>
      <c r="Q28" s="16" t="str">
        <f>IFERROR(Level_Verification_Calculations[[#This Row],[Foundation Level]]+Level_Verification_Calculations[[#This Row],[Foundation Depth]],"")</f>
        <v/>
      </c>
      <c r="R28" s="21" t="str">
        <f>IFERROR(VLOOKUP(Level_Verification_Calculations[[#This Row],[Axis]],AXIS_DATA[],MATCH(Level_Verification_Calculations[[#Headers],[Pier Height (IFC DWG)]],AXIS_DATA[#Headers],0),FALSE),"")</f>
        <v/>
      </c>
      <c r="S28" s="16" t="str">
        <f>IFERROR(VLOOKUP(Level_Verification_Calculations[[#This Row],[Section]],SECTION_DATA[],MATCH(Level_Verification_Calculations[[#Headers],[Superstructure Depth]],SECTION_DATA[#Headers],0),FALSE),"")</f>
        <v/>
      </c>
      <c r="T28" s="16" t="str">
        <f>IFERROR(Level_Verification_Calculations[[#This Row],[Structure Elevation]]-Level_Verification_Calculations[[#This Row],[Superstructure Depth]]-Level_Verification_Calculations[[#This Row],[Bearing Height]],"")</f>
        <v/>
      </c>
      <c r="U28" s="21" t="str">
        <f>IFERROR(Level_Verification_Calculations[[#This Row],[Pier Elevation]]-Level_Verification_Calculations[[#This Row],[Top of Foundation Concrete]],"")</f>
        <v/>
      </c>
      <c r="V28" s="21" t="str">
        <f>IFERROR(Level_Verification_Calculations[[#This Row],[Pier Height (IFC DWG)]]-Level_Verification_Calculations[[#This Row],[Pier Height (Calculated)]],"")</f>
        <v/>
      </c>
      <c r="W28" s="83" t="str">
        <f>IF(Level_Verification_Calculations[[#This Row],[Axis]]="","",IFERROR(VLOOKUP(Level_Verification_Calculations[[#This Row],[Axis]],COORDINATE_DATA[],MATCH(Level_Verification_Calculations[[#Headers],[Axis Center
X Coordinate]],COORDINATE_DATA[#Headers],0),FALSE),""))</f>
        <v/>
      </c>
      <c r="X28" s="83" t="str">
        <f>IF(Level_Verification_Calculations[[#This Row],[Axis]]="","",IFERROR(VLOOKUP(Level_Verification_Calculations[[#This Row],[Axis]],COORDINATE_DATA[],MATCH(Level_Verification_Calculations[[#Headers],[Axis Center
Y Coordinate]],COORDINATE_DATA[#Headers],0),FALSE),""))</f>
        <v/>
      </c>
      <c r="Y28" s="83" t="str">
        <f>IF(Level_Verification_Calculations[[#This Row],[Axis]]="","",IFERROR(VLOOKUP(Level_Verification_Calculations[[#This Row],[Axis]],COORDINATE_DATA[],MATCH(Level_Verification_Calculations[[#Headers],[θ]],COORDINATE_DATA[#Headers],0),FALSE),""))</f>
        <v/>
      </c>
    </row>
    <row r="29" spans="2:25" s="1" customFormat="1" ht="15" customHeight="1" x14ac:dyDescent="0.2">
      <c r="B29" s="18">
        <f>COUNT($B$7:B28)+1</f>
        <v>22</v>
      </c>
      <c r="C29" s="19" t="str" cm="1">
        <f t="array" ref="C29">IF(INDEX(AXIS_DATA[Axis], B29)=0,"",INDEX(AXIS_DATA[Axis], B29))</f>
        <v/>
      </c>
      <c r="D29" s="22" t="str">
        <f>IFERROR(VLOOKUP(Level_Verification_Calculations[[#This Row],[Axis]],AXIS_DATA[],MATCH(Level_Verification_Calculations[[#Headers],[Station]],AXIS_DATA[#Headers],0),FALSE),"")</f>
        <v/>
      </c>
      <c r="E29" s="22" t="str" cm="1">
        <f t="array" ref="E2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9" s="23" t="str" cm="1">
        <f t="array" ref="F2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9" s="24" t="str">
        <f>IFERROR(VLOOKUP(Level_Verification_Calculations[[#This Row],[Segment Number]],PROFILE_DATA[],MATCH(Level_Verification_Calculations[[#Headers],[Segment Type]],PROFILE_DATA[#Headers],0),FALSE),"")</f>
        <v/>
      </c>
      <c r="H29" s="16" t="str">
        <f>IFERROR(VLOOKUP(Level_Verification_Calculations[[#This Row],[Axis]],AXIS_DATA[],MATCH(Level_Verification_Calculations[[#Headers],[Section]],AXIS_DATA[#Headers],0),FALSE),"")</f>
        <v/>
      </c>
      <c r="I29" s="16" t="str">
        <f>IFERROR(VLOOKUP(Level_Verification_Calculations[[#This Row],[Section]],SECTION_DATA[],MATCH(Level_Verification_Calculations[[#Headers],[Alignment-Structure Axis Offset]],SECTION_DATA[#Headers],0),0),"")</f>
        <v/>
      </c>
      <c r="J29" s="16" t="str">
        <f>IFERROR(VLOOKUP(Level_Verification_Calculations[[#This Row],[Section]],SECTION_DATA[],MATCH(Level_Verification_Calculations[[#Headers],[Superelevation (e%)]],SECTION_DATA[#Headers],0),0),"")</f>
        <v/>
      </c>
      <c r="K29" s="16" t="str">
        <f>IFERROR(VLOOKUP(Level_Verification_Calculations[[#This Row],[Section]],SECTION_DATA[],MATCH(Level_Verification_Calculations[[#Headers],[Asphalt Thickness]],SECTION_DATA[#Headers],0),0),"")</f>
        <v/>
      </c>
      <c r="L29"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9" s="16" t="str">
        <f>IFERROR(VLOOKUP(Level_Verification_Calculations[[#This Row],[Axis]],AXIS_DATA[],MATCH(Level_Verification_Calculations[[#Headers],[Axis Type]],AXIS_DATA[#Headers],0),FALSE),"")</f>
        <v/>
      </c>
      <c r="N29" s="16" t="str">
        <f>IFERROR(IF(Level_Verification_Calculations[[#This Row],[Axis Type]]="Fixed axis",0,VLOOKUP(Level_Verification_Calculations[[#This Row],[Section]],SECTION_DATA[],MATCH(Level_Verification_Calculations[[#Headers],[Bearing Height]],SECTION_DATA[#Headers],0),FALSE)),"")</f>
        <v/>
      </c>
      <c r="O29" s="16" t="str">
        <f>IFERROR(VLOOKUP(Level_Verification_Calculations[[#This Row],[Axis]],AXIS_DATA[],MATCH(Level_Verification_Calculations[[#Headers],[Foundation Level]],AXIS_DATA[#Headers],0),FALSE),"")</f>
        <v/>
      </c>
      <c r="P29" s="16" t="str">
        <f>IFERROR(VLOOKUP(Level_Verification_Calculations[[#This Row],[Axis]],AXIS_DATA[],MATCH(Level_Verification_Calculations[[#Headers],[Foundation Depth]],AXIS_DATA[#Headers],0),FALSE),"")</f>
        <v/>
      </c>
      <c r="Q29" s="16" t="str">
        <f>IFERROR(Level_Verification_Calculations[[#This Row],[Foundation Level]]+Level_Verification_Calculations[[#This Row],[Foundation Depth]],"")</f>
        <v/>
      </c>
      <c r="R29" s="21" t="str">
        <f>IFERROR(VLOOKUP(Level_Verification_Calculations[[#This Row],[Axis]],AXIS_DATA[],MATCH(Level_Verification_Calculations[[#Headers],[Pier Height (IFC DWG)]],AXIS_DATA[#Headers],0),FALSE),"")</f>
        <v/>
      </c>
      <c r="S29" s="16" t="str">
        <f>IFERROR(VLOOKUP(Level_Verification_Calculations[[#This Row],[Section]],SECTION_DATA[],MATCH(Level_Verification_Calculations[[#Headers],[Superstructure Depth]],SECTION_DATA[#Headers],0),FALSE),"")</f>
        <v/>
      </c>
      <c r="T29" s="16" t="str">
        <f>IFERROR(Level_Verification_Calculations[[#This Row],[Structure Elevation]]-Level_Verification_Calculations[[#This Row],[Superstructure Depth]]-Level_Verification_Calculations[[#This Row],[Bearing Height]],"")</f>
        <v/>
      </c>
      <c r="U29" s="21" t="str">
        <f>IFERROR(Level_Verification_Calculations[[#This Row],[Pier Elevation]]-Level_Verification_Calculations[[#This Row],[Top of Foundation Concrete]],"")</f>
        <v/>
      </c>
      <c r="V29" s="21" t="str">
        <f>IFERROR(Level_Verification_Calculations[[#This Row],[Pier Height (IFC DWG)]]-Level_Verification_Calculations[[#This Row],[Pier Height (Calculated)]],"")</f>
        <v/>
      </c>
      <c r="W29" s="83" t="str">
        <f>IF(Level_Verification_Calculations[[#This Row],[Axis]]="","",IFERROR(VLOOKUP(Level_Verification_Calculations[[#This Row],[Axis]],COORDINATE_DATA[],MATCH(Level_Verification_Calculations[[#Headers],[Axis Center
X Coordinate]],COORDINATE_DATA[#Headers],0),FALSE),""))</f>
        <v/>
      </c>
      <c r="X29" s="83" t="str">
        <f>IF(Level_Verification_Calculations[[#This Row],[Axis]]="","",IFERROR(VLOOKUP(Level_Verification_Calculations[[#This Row],[Axis]],COORDINATE_DATA[],MATCH(Level_Verification_Calculations[[#Headers],[Axis Center
Y Coordinate]],COORDINATE_DATA[#Headers],0),FALSE),""))</f>
        <v/>
      </c>
      <c r="Y29" s="83" t="str">
        <f>IF(Level_Verification_Calculations[[#This Row],[Axis]]="","",IFERROR(VLOOKUP(Level_Verification_Calculations[[#This Row],[Axis]],COORDINATE_DATA[],MATCH(Level_Verification_Calculations[[#Headers],[θ]],COORDINATE_DATA[#Headers],0),FALSE),""))</f>
        <v/>
      </c>
    </row>
    <row r="30" spans="2:25" s="1" customFormat="1" ht="15" customHeight="1" x14ac:dyDescent="0.2">
      <c r="B30" s="18">
        <f>COUNT($B$7:B29)+1</f>
        <v>23</v>
      </c>
      <c r="C30" s="19" t="str" cm="1">
        <f t="array" ref="C30">IF(INDEX(AXIS_DATA[Axis], B30)=0,"",INDEX(AXIS_DATA[Axis], B30))</f>
        <v/>
      </c>
      <c r="D30" s="22" t="str">
        <f>IFERROR(VLOOKUP(Level_Verification_Calculations[[#This Row],[Axis]],AXIS_DATA[],MATCH(Level_Verification_Calculations[[#Headers],[Station]],AXIS_DATA[#Headers],0),FALSE),"")</f>
        <v/>
      </c>
      <c r="E30" s="22" t="str" cm="1">
        <f t="array" ref="E3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0" s="23" t="str" cm="1">
        <f t="array" ref="F3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0" s="24" t="str">
        <f>IFERROR(VLOOKUP(Level_Verification_Calculations[[#This Row],[Segment Number]],PROFILE_DATA[],MATCH(Level_Verification_Calculations[[#Headers],[Segment Type]],PROFILE_DATA[#Headers],0),FALSE),"")</f>
        <v/>
      </c>
      <c r="H30" s="16" t="str">
        <f>IFERROR(VLOOKUP(Level_Verification_Calculations[[#This Row],[Axis]],AXIS_DATA[],MATCH(Level_Verification_Calculations[[#Headers],[Section]],AXIS_DATA[#Headers],0),FALSE),"")</f>
        <v/>
      </c>
      <c r="I30" s="16" t="str">
        <f>IFERROR(VLOOKUP(Level_Verification_Calculations[[#This Row],[Section]],SECTION_DATA[],MATCH(Level_Verification_Calculations[[#Headers],[Alignment-Structure Axis Offset]],SECTION_DATA[#Headers],0),0),"")</f>
        <v/>
      </c>
      <c r="J30" s="16" t="str">
        <f>IFERROR(VLOOKUP(Level_Verification_Calculations[[#This Row],[Section]],SECTION_DATA[],MATCH(Level_Verification_Calculations[[#Headers],[Superelevation (e%)]],SECTION_DATA[#Headers],0),0),"")</f>
        <v/>
      </c>
      <c r="K30" s="16" t="str">
        <f>IFERROR(VLOOKUP(Level_Verification_Calculations[[#This Row],[Section]],SECTION_DATA[],MATCH(Level_Verification_Calculations[[#Headers],[Asphalt Thickness]],SECTION_DATA[#Headers],0),0),"")</f>
        <v/>
      </c>
      <c r="L30"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0" s="16" t="str">
        <f>IFERROR(VLOOKUP(Level_Verification_Calculations[[#This Row],[Axis]],AXIS_DATA[],MATCH(Level_Verification_Calculations[[#Headers],[Axis Type]],AXIS_DATA[#Headers],0),FALSE),"")</f>
        <v/>
      </c>
      <c r="N30" s="16" t="str">
        <f>IFERROR(IF(Level_Verification_Calculations[[#This Row],[Axis Type]]="Fixed axis",0,VLOOKUP(Level_Verification_Calculations[[#This Row],[Section]],SECTION_DATA[],MATCH(Level_Verification_Calculations[[#Headers],[Bearing Height]],SECTION_DATA[#Headers],0),FALSE)),"")</f>
        <v/>
      </c>
      <c r="O30" s="16" t="str">
        <f>IFERROR(VLOOKUP(Level_Verification_Calculations[[#This Row],[Axis]],AXIS_DATA[],MATCH(Level_Verification_Calculations[[#Headers],[Foundation Level]],AXIS_DATA[#Headers],0),FALSE),"")</f>
        <v/>
      </c>
      <c r="P30" s="16" t="str">
        <f>IFERROR(VLOOKUP(Level_Verification_Calculations[[#This Row],[Axis]],AXIS_DATA[],MATCH(Level_Verification_Calculations[[#Headers],[Foundation Depth]],AXIS_DATA[#Headers],0),FALSE),"")</f>
        <v/>
      </c>
      <c r="Q30" s="16" t="str">
        <f>IFERROR(Level_Verification_Calculations[[#This Row],[Foundation Level]]+Level_Verification_Calculations[[#This Row],[Foundation Depth]],"")</f>
        <v/>
      </c>
      <c r="R30" s="21" t="str">
        <f>IFERROR(VLOOKUP(Level_Verification_Calculations[[#This Row],[Axis]],AXIS_DATA[],MATCH(Level_Verification_Calculations[[#Headers],[Pier Height (IFC DWG)]],AXIS_DATA[#Headers],0),FALSE),"")</f>
        <v/>
      </c>
      <c r="S30" s="16" t="str">
        <f>IFERROR(VLOOKUP(Level_Verification_Calculations[[#This Row],[Section]],SECTION_DATA[],MATCH(Level_Verification_Calculations[[#Headers],[Superstructure Depth]],SECTION_DATA[#Headers],0),FALSE),"")</f>
        <v/>
      </c>
      <c r="T30" s="16" t="str">
        <f>IFERROR(Level_Verification_Calculations[[#This Row],[Structure Elevation]]-Level_Verification_Calculations[[#This Row],[Superstructure Depth]]-Level_Verification_Calculations[[#This Row],[Bearing Height]],"")</f>
        <v/>
      </c>
      <c r="U30" s="21" t="str">
        <f>IFERROR(Level_Verification_Calculations[[#This Row],[Pier Elevation]]-Level_Verification_Calculations[[#This Row],[Top of Foundation Concrete]],"")</f>
        <v/>
      </c>
      <c r="V30" s="21" t="str">
        <f>IFERROR(Level_Verification_Calculations[[#This Row],[Pier Height (IFC DWG)]]-Level_Verification_Calculations[[#This Row],[Pier Height (Calculated)]],"")</f>
        <v/>
      </c>
      <c r="W30" s="83" t="str">
        <f>IF(Level_Verification_Calculations[[#This Row],[Axis]]="","",IFERROR(VLOOKUP(Level_Verification_Calculations[[#This Row],[Axis]],COORDINATE_DATA[],MATCH(Level_Verification_Calculations[[#Headers],[Axis Center
X Coordinate]],COORDINATE_DATA[#Headers],0),FALSE),""))</f>
        <v/>
      </c>
      <c r="X30" s="83" t="str">
        <f>IF(Level_Verification_Calculations[[#This Row],[Axis]]="","",IFERROR(VLOOKUP(Level_Verification_Calculations[[#This Row],[Axis]],COORDINATE_DATA[],MATCH(Level_Verification_Calculations[[#Headers],[Axis Center
Y Coordinate]],COORDINATE_DATA[#Headers],0),FALSE),""))</f>
        <v/>
      </c>
      <c r="Y30" s="83" t="str">
        <f>IF(Level_Verification_Calculations[[#This Row],[Axis]]="","",IFERROR(VLOOKUP(Level_Verification_Calculations[[#This Row],[Axis]],COORDINATE_DATA[],MATCH(Level_Verification_Calculations[[#Headers],[θ]],COORDINATE_DATA[#Headers],0),FALSE),""))</f>
        <v/>
      </c>
    </row>
    <row r="31" spans="2:25" s="1" customFormat="1" ht="15" customHeight="1" x14ac:dyDescent="0.2">
      <c r="B31" s="18">
        <f>COUNT($B$7:B30)+1</f>
        <v>24</v>
      </c>
      <c r="C31" s="19" t="str" cm="1">
        <f t="array" ref="C31">IF(INDEX(AXIS_DATA[Axis], B31)=0,"",INDEX(AXIS_DATA[Axis], B31))</f>
        <v/>
      </c>
      <c r="D31" s="22" t="str">
        <f>IFERROR(VLOOKUP(Level_Verification_Calculations[[#This Row],[Axis]],AXIS_DATA[],MATCH(Level_Verification_Calculations[[#Headers],[Station]],AXIS_DATA[#Headers],0),FALSE),"")</f>
        <v/>
      </c>
      <c r="E31" s="22" t="str" cm="1">
        <f t="array" ref="E3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1" s="23" t="str" cm="1">
        <f t="array" ref="F3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1" s="24" t="str">
        <f>IFERROR(VLOOKUP(Level_Verification_Calculations[[#This Row],[Segment Number]],PROFILE_DATA[],MATCH(Level_Verification_Calculations[[#Headers],[Segment Type]],PROFILE_DATA[#Headers],0),FALSE),"")</f>
        <v/>
      </c>
      <c r="H31" s="16" t="str">
        <f>IFERROR(VLOOKUP(Level_Verification_Calculations[[#This Row],[Axis]],AXIS_DATA[],MATCH(Level_Verification_Calculations[[#Headers],[Section]],AXIS_DATA[#Headers],0),FALSE),"")</f>
        <v/>
      </c>
      <c r="I31" s="16" t="str">
        <f>IFERROR(VLOOKUP(Level_Verification_Calculations[[#This Row],[Section]],SECTION_DATA[],MATCH(Level_Verification_Calculations[[#Headers],[Alignment-Structure Axis Offset]],SECTION_DATA[#Headers],0),0),"")</f>
        <v/>
      </c>
      <c r="J31" s="16" t="str">
        <f>IFERROR(VLOOKUP(Level_Verification_Calculations[[#This Row],[Section]],SECTION_DATA[],MATCH(Level_Verification_Calculations[[#Headers],[Superelevation (e%)]],SECTION_DATA[#Headers],0),0),"")</f>
        <v/>
      </c>
      <c r="K31" s="16" t="str">
        <f>IFERROR(VLOOKUP(Level_Verification_Calculations[[#This Row],[Section]],SECTION_DATA[],MATCH(Level_Verification_Calculations[[#Headers],[Asphalt Thickness]],SECTION_DATA[#Headers],0),0),"")</f>
        <v/>
      </c>
      <c r="L31"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1" s="16" t="str">
        <f>IFERROR(VLOOKUP(Level_Verification_Calculations[[#This Row],[Axis]],AXIS_DATA[],MATCH(Level_Verification_Calculations[[#Headers],[Axis Type]],AXIS_DATA[#Headers],0),FALSE),"")</f>
        <v/>
      </c>
      <c r="N31" s="16" t="str">
        <f>IFERROR(IF(Level_Verification_Calculations[[#This Row],[Axis Type]]="Fixed axis",0,VLOOKUP(Level_Verification_Calculations[[#This Row],[Section]],SECTION_DATA[],MATCH(Level_Verification_Calculations[[#Headers],[Bearing Height]],SECTION_DATA[#Headers],0),FALSE)),"")</f>
        <v/>
      </c>
      <c r="O31" s="16" t="str">
        <f>IFERROR(VLOOKUP(Level_Verification_Calculations[[#This Row],[Axis]],AXIS_DATA[],MATCH(Level_Verification_Calculations[[#Headers],[Foundation Level]],AXIS_DATA[#Headers],0),FALSE),"")</f>
        <v/>
      </c>
      <c r="P31" s="16" t="str">
        <f>IFERROR(VLOOKUP(Level_Verification_Calculations[[#This Row],[Axis]],AXIS_DATA[],MATCH(Level_Verification_Calculations[[#Headers],[Foundation Depth]],AXIS_DATA[#Headers],0),FALSE),"")</f>
        <v/>
      </c>
      <c r="Q31" s="16" t="str">
        <f>IFERROR(Level_Verification_Calculations[[#This Row],[Foundation Level]]+Level_Verification_Calculations[[#This Row],[Foundation Depth]],"")</f>
        <v/>
      </c>
      <c r="R31" s="21" t="str">
        <f>IFERROR(VLOOKUP(Level_Verification_Calculations[[#This Row],[Axis]],AXIS_DATA[],MATCH(Level_Verification_Calculations[[#Headers],[Pier Height (IFC DWG)]],AXIS_DATA[#Headers],0),FALSE),"")</f>
        <v/>
      </c>
      <c r="S31" s="16" t="str">
        <f>IFERROR(VLOOKUP(Level_Verification_Calculations[[#This Row],[Section]],SECTION_DATA[],MATCH(Level_Verification_Calculations[[#Headers],[Superstructure Depth]],SECTION_DATA[#Headers],0),FALSE),"")</f>
        <v/>
      </c>
      <c r="T31" s="16" t="str">
        <f>IFERROR(Level_Verification_Calculations[[#This Row],[Structure Elevation]]-Level_Verification_Calculations[[#This Row],[Superstructure Depth]]-Level_Verification_Calculations[[#This Row],[Bearing Height]],"")</f>
        <v/>
      </c>
      <c r="U31" s="21" t="str">
        <f>IFERROR(Level_Verification_Calculations[[#This Row],[Pier Elevation]]-Level_Verification_Calculations[[#This Row],[Top of Foundation Concrete]],"")</f>
        <v/>
      </c>
      <c r="V31" s="21" t="str">
        <f>IFERROR(Level_Verification_Calculations[[#This Row],[Pier Height (IFC DWG)]]-Level_Verification_Calculations[[#This Row],[Pier Height (Calculated)]],"")</f>
        <v/>
      </c>
      <c r="W31" s="83" t="str">
        <f>IF(Level_Verification_Calculations[[#This Row],[Axis]]="","",IFERROR(VLOOKUP(Level_Verification_Calculations[[#This Row],[Axis]],COORDINATE_DATA[],MATCH(Level_Verification_Calculations[[#Headers],[Axis Center
X Coordinate]],COORDINATE_DATA[#Headers],0),FALSE),""))</f>
        <v/>
      </c>
      <c r="X31" s="83" t="str">
        <f>IF(Level_Verification_Calculations[[#This Row],[Axis]]="","",IFERROR(VLOOKUP(Level_Verification_Calculations[[#This Row],[Axis]],COORDINATE_DATA[],MATCH(Level_Verification_Calculations[[#Headers],[Axis Center
Y Coordinate]],COORDINATE_DATA[#Headers],0),FALSE),""))</f>
        <v/>
      </c>
      <c r="Y31" s="83" t="str">
        <f>IF(Level_Verification_Calculations[[#This Row],[Axis]]="","",IFERROR(VLOOKUP(Level_Verification_Calculations[[#This Row],[Axis]],COORDINATE_DATA[],MATCH(Level_Verification_Calculations[[#Headers],[θ]],COORDINATE_DATA[#Headers],0),FALSE),""))</f>
        <v/>
      </c>
    </row>
    <row r="32" spans="2:25" s="1" customFormat="1" ht="15" customHeight="1" x14ac:dyDescent="0.2">
      <c r="B32" s="18">
        <f>COUNT($B$7:B31)+1</f>
        <v>25</v>
      </c>
      <c r="C32" s="19" t="str" cm="1">
        <f t="array" ref="C32">IF(INDEX(AXIS_DATA[Axis], B32)=0,"",INDEX(AXIS_DATA[Axis], B32))</f>
        <v/>
      </c>
      <c r="D32" s="22" t="str">
        <f>IFERROR(VLOOKUP(Level_Verification_Calculations[[#This Row],[Axis]],AXIS_DATA[],MATCH(Level_Verification_Calculations[[#Headers],[Station]],AXIS_DATA[#Headers],0),FALSE),"")</f>
        <v/>
      </c>
      <c r="E32" s="22" t="str" cm="1">
        <f t="array" ref="E3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2" s="23" t="str" cm="1">
        <f t="array" ref="F3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2" s="24" t="str">
        <f>IFERROR(VLOOKUP(Level_Verification_Calculations[[#This Row],[Segment Number]],PROFILE_DATA[],MATCH(Level_Verification_Calculations[[#Headers],[Segment Type]],PROFILE_DATA[#Headers],0),FALSE),"")</f>
        <v/>
      </c>
      <c r="H32" s="16" t="str">
        <f>IFERROR(VLOOKUP(Level_Verification_Calculations[[#This Row],[Axis]],AXIS_DATA[],MATCH(Level_Verification_Calculations[[#Headers],[Section]],AXIS_DATA[#Headers],0),FALSE),"")</f>
        <v/>
      </c>
      <c r="I32" s="16" t="str">
        <f>IFERROR(VLOOKUP(Level_Verification_Calculations[[#This Row],[Section]],SECTION_DATA[],MATCH(Level_Verification_Calculations[[#Headers],[Alignment-Structure Axis Offset]],SECTION_DATA[#Headers],0),0),"")</f>
        <v/>
      </c>
      <c r="J32" s="16" t="str">
        <f>IFERROR(VLOOKUP(Level_Verification_Calculations[[#This Row],[Section]],SECTION_DATA[],MATCH(Level_Verification_Calculations[[#Headers],[Superelevation (e%)]],SECTION_DATA[#Headers],0),0),"")</f>
        <v/>
      </c>
      <c r="K32" s="16" t="str">
        <f>IFERROR(VLOOKUP(Level_Verification_Calculations[[#This Row],[Section]],SECTION_DATA[],MATCH(Level_Verification_Calculations[[#Headers],[Asphalt Thickness]],SECTION_DATA[#Headers],0),0),"")</f>
        <v/>
      </c>
      <c r="L32"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2" s="16" t="str">
        <f>IFERROR(VLOOKUP(Level_Verification_Calculations[[#This Row],[Axis]],AXIS_DATA[],MATCH(Level_Verification_Calculations[[#Headers],[Axis Type]],AXIS_DATA[#Headers],0),FALSE),"")</f>
        <v/>
      </c>
      <c r="N32" s="16" t="str">
        <f>IFERROR(IF(Level_Verification_Calculations[[#This Row],[Axis Type]]="Fixed axis",0,VLOOKUP(Level_Verification_Calculations[[#This Row],[Section]],SECTION_DATA[],MATCH(Level_Verification_Calculations[[#Headers],[Bearing Height]],SECTION_DATA[#Headers],0),FALSE)),"")</f>
        <v/>
      </c>
      <c r="O32" s="16" t="str">
        <f>IFERROR(VLOOKUP(Level_Verification_Calculations[[#This Row],[Axis]],AXIS_DATA[],MATCH(Level_Verification_Calculations[[#Headers],[Foundation Level]],AXIS_DATA[#Headers],0),FALSE),"")</f>
        <v/>
      </c>
      <c r="P32" s="16" t="str">
        <f>IFERROR(VLOOKUP(Level_Verification_Calculations[[#This Row],[Axis]],AXIS_DATA[],MATCH(Level_Verification_Calculations[[#Headers],[Foundation Depth]],AXIS_DATA[#Headers],0),FALSE),"")</f>
        <v/>
      </c>
      <c r="Q32" s="16" t="str">
        <f>IFERROR(Level_Verification_Calculations[[#This Row],[Foundation Level]]+Level_Verification_Calculations[[#This Row],[Foundation Depth]],"")</f>
        <v/>
      </c>
      <c r="R32" s="21" t="str">
        <f>IFERROR(VLOOKUP(Level_Verification_Calculations[[#This Row],[Axis]],AXIS_DATA[],MATCH(Level_Verification_Calculations[[#Headers],[Pier Height (IFC DWG)]],AXIS_DATA[#Headers],0),FALSE),"")</f>
        <v/>
      </c>
      <c r="S32" s="16" t="str">
        <f>IFERROR(VLOOKUP(Level_Verification_Calculations[[#This Row],[Section]],SECTION_DATA[],MATCH(Level_Verification_Calculations[[#Headers],[Superstructure Depth]],SECTION_DATA[#Headers],0),FALSE),"")</f>
        <v/>
      </c>
      <c r="T32" s="16" t="str">
        <f>IFERROR(Level_Verification_Calculations[[#This Row],[Structure Elevation]]-Level_Verification_Calculations[[#This Row],[Superstructure Depth]]-Level_Verification_Calculations[[#This Row],[Bearing Height]],"")</f>
        <v/>
      </c>
      <c r="U32" s="21" t="str">
        <f>IFERROR(Level_Verification_Calculations[[#This Row],[Pier Elevation]]-Level_Verification_Calculations[[#This Row],[Top of Foundation Concrete]],"")</f>
        <v/>
      </c>
      <c r="V32" s="21" t="str">
        <f>IFERROR(Level_Verification_Calculations[[#This Row],[Pier Height (IFC DWG)]]-Level_Verification_Calculations[[#This Row],[Pier Height (Calculated)]],"")</f>
        <v/>
      </c>
      <c r="W32" s="83" t="str">
        <f>IF(Level_Verification_Calculations[[#This Row],[Axis]]="","",IFERROR(VLOOKUP(Level_Verification_Calculations[[#This Row],[Axis]],COORDINATE_DATA[],MATCH(Level_Verification_Calculations[[#Headers],[Axis Center
X Coordinate]],COORDINATE_DATA[#Headers],0),FALSE),""))</f>
        <v/>
      </c>
      <c r="X32" s="83" t="str">
        <f>IF(Level_Verification_Calculations[[#This Row],[Axis]]="","",IFERROR(VLOOKUP(Level_Verification_Calculations[[#This Row],[Axis]],COORDINATE_DATA[],MATCH(Level_Verification_Calculations[[#Headers],[Axis Center
Y Coordinate]],COORDINATE_DATA[#Headers],0),FALSE),""))</f>
        <v/>
      </c>
      <c r="Y32" s="83" t="str">
        <f>IF(Level_Verification_Calculations[[#This Row],[Axis]]="","",IFERROR(VLOOKUP(Level_Verification_Calculations[[#This Row],[Axis]],COORDINATE_DATA[],MATCH(Level_Verification_Calculations[[#Headers],[θ]],COORDINATE_DATA[#Headers],0),FALSE),""))</f>
        <v/>
      </c>
    </row>
    <row r="33" spans="2:25" s="1" customFormat="1" ht="15" customHeight="1" x14ac:dyDescent="0.2">
      <c r="B33" s="18">
        <f>COUNT($B$7:B32)+1</f>
        <v>26</v>
      </c>
      <c r="C33" s="19" t="str" cm="1">
        <f t="array" ref="C33">IF(INDEX(AXIS_DATA[Axis], B33)=0,"",INDEX(AXIS_DATA[Axis], B33))</f>
        <v/>
      </c>
      <c r="D33" s="22" t="str">
        <f>IFERROR(VLOOKUP(Level_Verification_Calculations[[#This Row],[Axis]],AXIS_DATA[],MATCH(Level_Verification_Calculations[[#Headers],[Station]],AXIS_DATA[#Headers],0),FALSE),"")</f>
        <v/>
      </c>
      <c r="E33" s="22" t="str" cm="1">
        <f t="array" ref="E3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3" s="23" t="str" cm="1">
        <f t="array" ref="F3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3" s="24" t="str">
        <f>IFERROR(VLOOKUP(Level_Verification_Calculations[[#This Row],[Segment Number]],PROFILE_DATA[],MATCH(Level_Verification_Calculations[[#Headers],[Segment Type]],PROFILE_DATA[#Headers],0),FALSE),"")</f>
        <v/>
      </c>
      <c r="H33" s="16" t="str">
        <f>IFERROR(VLOOKUP(Level_Verification_Calculations[[#This Row],[Axis]],AXIS_DATA[],MATCH(Level_Verification_Calculations[[#Headers],[Section]],AXIS_DATA[#Headers],0),FALSE),"")</f>
        <v/>
      </c>
      <c r="I33" s="16" t="str">
        <f>IFERROR(VLOOKUP(Level_Verification_Calculations[[#This Row],[Section]],SECTION_DATA[],MATCH(Level_Verification_Calculations[[#Headers],[Alignment-Structure Axis Offset]],SECTION_DATA[#Headers],0),0),"")</f>
        <v/>
      </c>
      <c r="J33" s="16" t="str">
        <f>IFERROR(VLOOKUP(Level_Verification_Calculations[[#This Row],[Section]],SECTION_DATA[],MATCH(Level_Verification_Calculations[[#Headers],[Superelevation (e%)]],SECTION_DATA[#Headers],0),0),"")</f>
        <v/>
      </c>
      <c r="K33" s="16" t="str">
        <f>IFERROR(VLOOKUP(Level_Verification_Calculations[[#This Row],[Section]],SECTION_DATA[],MATCH(Level_Verification_Calculations[[#Headers],[Asphalt Thickness]],SECTION_DATA[#Headers],0),0),"")</f>
        <v/>
      </c>
      <c r="L33"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3" s="16" t="str">
        <f>IFERROR(VLOOKUP(Level_Verification_Calculations[[#This Row],[Axis]],AXIS_DATA[],MATCH(Level_Verification_Calculations[[#Headers],[Axis Type]],AXIS_DATA[#Headers],0),FALSE),"")</f>
        <v/>
      </c>
      <c r="N33" s="16" t="str">
        <f>IFERROR(IF(Level_Verification_Calculations[[#This Row],[Axis Type]]="Fixed axis",0,VLOOKUP(Level_Verification_Calculations[[#This Row],[Section]],SECTION_DATA[],MATCH(Level_Verification_Calculations[[#Headers],[Bearing Height]],SECTION_DATA[#Headers],0),FALSE)),"")</f>
        <v/>
      </c>
      <c r="O33" s="16" t="str">
        <f>IFERROR(VLOOKUP(Level_Verification_Calculations[[#This Row],[Axis]],AXIS_DATA[],MATCH(Level_Verification_Calculations[[#Headers],[Foundation Level]],AXIS_DATA[#Headers],0),FALSE),"")</f>
        <v/>
      </c>
      <c r="P33" s="16" t="str">
        <f>IFERROR(VLOOKUP(Level_Verification_Calculations[[#This Row],[Axis]],AXIS_DATA[],MATCH(Level_Verification_Calculations[[#Headers],[Foundation Depth]],AXIS_DATA[#Headers],0),FALSE),"")</f>
        <v/>
      </c>
      <c r="Q33" s="16" t="str">
        <f>IFERROR(Level_Verification_Calculations[[#This Row],[Foundation Level]]+Level_Verification_Calculations[[#This Row],[Foundation Depth]],"")</f>
        <v/>
      </c>
      <c r="R33" s="21" t="str">
        <f>IFERROR(VLOOKUP(Level_Verification_Calculations[[#This Row],[Axis]],AXIS_DATA[],MATCH(Level_Verification_Calculations[[#Headers],[Pier Height (IFC DWG)]],AXIS_DATA[#Headers],0),FALSE),"")</f>
        <v/>
      </c>
      <c r="S33" s="16" t="str">
        <f>IFERROR(VLOOKUP(Level_Verification_Calculations[[#This Row],[Section]],SECTION_DATA[],MATCH(Level_Verification_Calculations[[#Headers],[Superstructure Depth]],SECTION_DATA[#Headers],0),FALSE),"")</f>
        <v/>
      </c>
      <c r="T33" s="16" t="str">
        <f>IFERROR(Level_Verification_Calculations[[#This Row],[Structure Elevation]]-Level_Verification_Calculations[[#This Row],[Superstructure Depth]]-Level_Verification_Calculations[[#This Row],[Bearing Height]],"")</f>
        <v/>
      </c>
      <c r="U33" s="21" t="str">
        <f>IFERROR(Level_Verification_Calculations[[#This Row],[Pier Elevation]]-Level_Verification_Calculations[[#This Row],[Top of Foundation Concrete]],"")</f>
        <v/>
      </c>
      <c r="V33" s="21" t="str">
        <f>IFERROR(Level_Verification_Calculations[[#This Row],[Pier Height (IFC DWG)]]-Level_Verification_Calculations[[#This Row],[Pier Height (Calculated)]],"")</f>
        <v/>
      </c>
      <c r="W33" s="83" t="str">
        <f>IF(Level_Verification_Calculations[[#This Row],[Axis]]="","",IFERROR(VLOOKUP(Level_Verification_Calculations[[#This Row],[Axis]],COORDINATE_DATA[],MATCH(Level_Verification_Calculations[[#Headers],[Axis Center
X Coordinate]],COORDINATE_DATA[#Headers],0),FALSE),""))</f>
        <v/>
      </c>
      <c r="X33" s="83" t="str">
        <f>IF(Level_Verification_Calculations[[#This Row],[Axis]]="","",IFERROR(VLOOKUP(Level_Verification_Calculations[[#This Row],[Axis]],COORDINATE_DATA[],MATCH(Level_Verification_Calculations[[#Headers],[Axis Center
Y Coordinate]],COORDINATE_DATA[#Headers],0),FALSE),""))</f>
        <v/>
      </c>
      <c r="Y33" s="83" t="str">
        <f>IF(Level_Verification_Calculations[[#This Row],[Axis]]="","",IFERROR(VLOOKUP(Level_Verification_Calculations[[#This Row],[Axis]],COORDINATE_DATA[],MATCH(Level_Verification_Calculations[[#Headers],[θ]],COORDINATE_DATA[#Headers],0),FALSE),""))</f>
        <v/>
      </c>
    </row>
    <row r="34" spans="2:25" s="1" customFormat="1" ht="15" customHeight="1" x14ac:dyDescent="0.2">
      <c r="B34" s="18">
        <f>COUNT($B$7:B33)+1</f>
        <v>27</v>
      </c>
      <c r="C34" s="25" t="str" cm="1">
        <f t="array" ref="C34">IF(INDEX(AXIS_DATA[Axis], B34)=0,"",INDEX(AXIS_DATA[Axis], B34))</f>
        <v/>
      </c>
      <c r="D34" s="22" t="str">
        <f>IFERROR(VLOOKUP(Level_Verification_Calculations[[#This Row],[Axis]],AXIS_DATA[],MATCH(Level_Verification_Calculations[[#Headers],[Station]],AXIS_DATA[#Headers],0),FALSE),"")</f>
        <v/>
      </c>
      <c r="E34" s="22" t="str" cm="1">
        <f t="array" ref="E3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4" s="23" t="str" cm="1">
        <f t="array" ref="F3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4" s="24" t="str">
        <f>IFERROR(VLOOKUP(Level_Verification_Calculations[[#This Row],[Segment Number]],PROFILE_DATA[],MATCH(Level_Verification_Calculations[[#Headers],[Segment Type]],PROFILE_DATA[#Headers],0),FALSE),"")</f>
        <v/>
      </c>
      <c r="H34" s="16" t="str">
        <f>IFERROR(VLOOKUP(Level_Verification_Calculations[[#This Row],[Axis]],AXIS_DATA[],MATCH(Level_Verification_Calculations[[#Headers],[Section]],AXIS_DATA[#Headers],0),FALSE),"")</f>
        <v/>
      </c>
      <c r="I34" s="16" t="str">
        <f>IFERROR(VLOOKUP(Level_Verification_Calculations[[#This Row],[Section]],SECTION_DATA[],MATCH(Level_Verification_Calculations[[#Headers],[Alignment-Structure Axis Offset]],SECTION_DATA[#Headers],0),0),"")</f>
        <v/>
      </c>
      <c r="J34" s="16" t="str">
        <f>IFERROR(VLOOKUP(Level_Verification_Calculations[[#This Row],[Section]],SECTION_DATA[],MATCH(Level_Verification_Calculations[[#Headers],[Superelevation (e%)]],SECTION_DATA[#Headers],0),0),"")</f>
        <v/>
      </c>
      <c r="K34" s="16" t="str">
        <f>IFERROR(VLOOKUP(Level_Verification_Calculations[[#This Row],[Section]],SECTION_DATA[],MATCH(Level_Verification_Calculations[[#Headers],[Asphalt Thickness]],SECTION_DATA[#Headers],0),0),"")</f>
        <v/>
      </c>
      <c r="L34"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4" s="16" t="str">
        <f>IFERROR(VLOOKUP(Level_Verification_Calculations[[#This Row],[Axis]],AXIS_DATA[],MATCH(Level_Verification_Calculations[[#Headers],[Axis Type]],AXIS_DATA[#Headers],0),FALSE),"")</f>
        <v/>
      </c>
      <c r="N34" s="16" t="str">
        <f>IFERROR(IF(Level_Verification_Calculations[[#This Row],[Axis Type]]="Fixed axis",0,VLOOKUP(Level_Verification_Calculations[[#This Row],[Section]],SECTION_DATA[],MATCH(Level_Verification_Calculations[[#Headers],[Bearing Height]],SECTION_DATA[#Headers],0),FALSE)),"")</f>
        <v/>
      </c>
      <c r="O34" s="16" t="str">
        <f>IFERROR(VLOOKUP(Level_Verification_Calculations[[#This Row],[Axis]],AXIS_DATA[],MATCH(Level_Verification_Calculations[[#Headers],[Foundation Level]],AXIS_DATA[#Headers],0),FALSE),"")</f>
        <v/>
      </c>
      <c r="P34" s="16" t="str">
        <f>IFERROR(VLOOKUP(Level_Verification_Calculations[[#This Row],[Axis]],AXIS_DATA[],MATCH(Level_Verification_Calculations[[#Headers],[Foundation Depth]],AXIS_DATA[#Headers],0),FALSE),"")</f>
        <v/>
      </c>
      <c r="Q34" s="16" t="str">
        <f>IFERROR(Level_Verification_Calculations[[#This Row],[Foundation Level]]+Level_Verification_Calculations[[#This Row],[Foundation Depth]],"")</f>
        <v/>
      </c>
      <c r="R34" s="21" t="str">
        <f>IFERROR(VLOOKUP(Level_Verification_Calculations[[#This Row],[Axis]],AXIS_DATA[],MATCH(Level_Verification_Calculations[[#Headers],[Pier Height (IFC DWG)]],AXIS_DATA[#Headers],0),FALSE),"")</f>
        <v/>
      </c>
      <c r="S34" s="16" t="str">
        <f>IFERROR(VLOOKUP(Level_Verification_Calculations[[#This Row],[Section]],SECTION_DATA[],MATCH(Level_Verification_Calculations[[#Headers],[Superstructure Depth]],SECTION_DATA[#Headers],0),FALSE),"")</f>
        <v/>
      </c>
      <c r="T34" s="16" t="str">
        <f>IFERROR(Level_Verification_Calculations[[#This Row],[Structure Elevation]]-Level_Verification_Calculations[[#This Row],[Superstructure Depth]]-Level_Verification_Calculations[[#This Row],[Bearing Height]],"")</f>
        <v/>
      </c>
      <c r="U34" s="21" t="str">
        <f>IFERROR(Level_Verification_Calculations[[#This Row],[Pier Elevation]]-Level_Verification_Calculations[[#This Row],[Top of Foundation Concrete]],"")</f>
        <v/>
      </c>
      <c r="V34" s="21" t="str">
        <f>IFERROR(Level_Verification_Calculations[[#This Row],[Pier Height (IFC DWG)]]-Level_Verification_Calculations[[#This Row],[Pier Height (Calculated)]],"")</f>
        <v/>
      </c>
      <c r="W34" s="83" t="str">
        <f>IF(Level_Verification_Calculations[[#This Row],[Axis]]="","",IFERROR(VLOOKUP(Level_Verification_Calculations[[#This Row],[Axis]],COORDINATE_DATA[],MATCH(Level_Verification_Calculations[[#Headers],[Axis Center
X Coordinate]],COORDINATE_DATA[#Headers],0),FALSE),""))</f>
        <v/>
      </c>
      <c r="X34" s="83" t="str">
        <f>IF(Level_Verification_Calculations[[#This Row],[Axis]]="","",IFERROR(VLOOKUP(Level_Verification_Calculations[[#This Row],[Axis]],COORDINATE_DATA[],MATCH(Level_Verification_Calculations[[#Headers],[Axis Center
Y Coordinate]],COORDINATE_DATA[#Headers],0),FALSE),""))</f>
        <v/>
      </c>
      <c r="Y34" s="83" t="str">
        <f>IF(Level_Verification_Calculations[[#This Row],[Axis]]="","",IFERROR(VLOOKUP(Level_Verification_Calculations[[#This Row],[Axis]],COORDINATE_DATA[],MATCH(Level_Verification_Calculations[[#Headers],[θ]],COORDINATE_DATA[#Headers],0),FALSE),""))</f>
        <v/>
      </c>
    </row>
    <row r="35" spans="2:25" s="1" customFormat="1" ht="12" x14ac:dyDescent="0.2">
      <c r="B35" s="18">
        <f>COUNT($B$7:B34)+1</f>
        <v>28</v>
      </c>
      <c r="C35" s="25" t="str" cm="1">
        <f t="array" ref="C35">IF(INDEX(AXIS_DATA[Axis], B35)=0,"",INDEX(AXIS_DATA[Axis], B35))</f>
        <v/>
      </c>
      <c r="D35" s="22" t="str">
        <f>IFERROR(VLOOKUP(Level_Verification_Calculations[[#This Row],[Axis]],AXIS_DATA[],MATCH(Level_Verification_Calculations[[#Headers],[Station]],AXIS_DATA[#Headers],0),FALSE),"")</f>
        <v/>
      </c>
      <c r="E35" s="22" t="str" cm="1">
        <f t="array" ref="E3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5" s="23" t="str" cm="1">
        <f t="array" ref="F3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5" s="24" t="str">
        <f>IFERROR(VLOOKUP(Level_Verification_Calculations[[#This Row],[Segment Number]],PROFILE_DATA[],MATCH(Level_Verification_Calculations[[#Headers],[Segment Type]],PROFILE_DATA[#Headers],0),FALSE),"")</f>
        <v/>
      </c>
      <c r="H35" s="16" t="str">
        <f>IFERROR(VLOOKUP(Level_Verification_Calculations[[#This Row],[Axis]],AXIS_DATA[],MATCH(Level_Verification_Calculations[[#Headers],[Section]],AXIS_DATA[#Headers],0),FALSE),"")</f>
        <v/>
      </c>
      <c r="I35" s="16" t="str">
        <f>IFERROR(VLOOKUP(Level_Verification_Calculations[[#This Row],[Section]],SECTION_DATA[],MATCH(Level_Verification_Calculations[[#Headers],[Alignment-Structure Axis Offset]],SECTION_DATA[#Headers],0),0),"")</f>
        <v/>
      </c>
      <c r="J35" s="16" t="str">
        <f>IFERROR(VLOOKUP(Level_Verification_Calculations[[#This Row],[Section]],SECTION_DATA[],MATCH(Level_Verification_Calculations[[#Headers],[Superelevation (e%)]],SECTION_DATA[#Headers],0),0),"")</f>
        <v/>
      </c>
      <c r="K35" s="16" t="str">
        <f>IFERROR(VLOOKUP(Level_Verification_Calculations[[#This Row],[Section]],SECTION_DATA[],MATCH(Level_Verification_Calculations[[#Headers],[Asphalt Thickness]],SECTION_DATA[#Headers],0),0),"")</f>
        <v/>
      </c>
      <c r="L3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5" s="16" t="str">
        <f>IFERROR(VLOOKUP(Level_Verification_Calculations[[#This Row],[Axis]],AXIS_DATA[],MATCH(Level_Verification_Calculations[[#Headers],[Axis Type]],AXIS_DATA[#Headers],0),FALSE),"")</f>
        <v/>
      </c>
      <c r="N35" s="16" t="str">
        <f>IFERROR(IF(Level_Verification_Calculations[[#This Row],[Axis Type]]="Fixed axis",0,VLOOKUP(Level_Verification_Calculations[[#This Row],[Section]],SECTION_DATA[],MATCH(Level_Verification_Calculations[[#Headers],[Bearing Height]],SECTION_DATA[#Headers],0),FALSE)),"")</f>
        <v/>
      </c>
      <c r="O35" s="16" t="str">
        <f>IFERROR(VLOOKUP(Level_Verification_Calculations[[#This Row],[Axis]],AXIS_DATA[],MATCH(Level_Verification_Calculations[[#Headers],[Foundation Level]],AXIS_DATA[#Headers],0),FALSE),"")</f>
        <v/>
      </c>
      <c r="P35" s="16" t="str">
        <f>IFERROR(VLOOKUP(Level_Verification_Calculations[[#This Row],[Axis]],AXIS_DATA[],MATCH(Level_Verification_Calculations[[#Headers],[Foundation Depth]],AXIS_DATA[#Headers],0),FALSE),"")</f>
        <v/>
      </c>
      <c r="Q35" s="16" t="str">
        <f>IFERROR(Level_Verification_Calculations[[#This Row],[Foundation Level]]+Level_Verification_Calculations[[#This Row],[Foundation Depth]],"")</f>
        <v/>
      </c>
      <c r="R35" s="21" t="str">
        <f>IFERROR(VLOOKUP(Level_Verification_Calculations[[#This Row],[Axis]],AXIS_DATA[],MATCH(Level_Verification_Calculations[[#Headers],[Pier Height (IFC DWG)]],AXIS_DATA[#Headers],0),FALSE),"")</f>
        <v/>
      </c>
      <c r="S35" s="16" t="str">
        <f>IFERROR(VLOOKUP(Level_Verification_Calculations[[#This Row],[Section]],SECTION_DATA[],MATCH(Level_Verification_Calculations[[#Headers],[Superstructure Depth]],SECTION_DATA[#Headers],0),FALSE),"")</f>
        <v/>
      </c>
      <c r="T35" s="16" t="str">
        <f>IFERROR(Level_Verification_Calculations[[#This Row],[Structure Elevation]]-Level_Verification_Calculations[[#This Row],[Superstructure Depth]]-Level_Verification_Calculations[[#This Row],[Bearing Height]],"")</f>
        <v/>
      </c>
      <c r="U35" s="21" t="str">
        <f>IFERROR(Level_Verification_Calculations[[#This Row],[Pier Elevation]]-Level_Verification_Calculations[[#This Row],[Top of Foundation Concrete]],"")</f>
        <v/>
      </c>
      <c r="V35" s="21" t="str">
        <f>IFERROR(Level_Verification_Calculations[[#This Row],[Pier Height (IFC DWG)]]-Level_Verification_Calculations[[#This Row],[Pier Height (Calculated)]],"")</f>
        <v/>
      </c>
      <c r="W35" s="83" t="str">
        <f>IF(Level_Verification_Calculations[[#This Row],[Axis]]="","",IFERROR(VLOOKUP(Level_Verification_Calculations[[#This Row],[Axis]],COORDINATE_DATA[],MATCH(Level_Verification_Calculations[[#Headers],[Axis Center
X Coordinate]],COORDINATE_DATA[#Headers],0),FALSE),""))</f>
        <v/>
      </c>
      <c r="X35" s="83" t="str">
        <f>IF(Level_Verification_Calculations[[#This Row],[Axis]]="","",IFERROR(VLOOKUP(Level_Verification_Calculations[[#This Row],[Axis]],COORDINATE_DATA[],MATCH(Level_Verification_Calculations[[#Headers],[Axis Center
Y Coordinate]],COORDINATE_DATA[#Headers],0),FALSE),""))</f>
        <v/>
      </c>
      <c r="Y35" s="83" t="str">
        <f>IF(Level_Verification_Calculations[[#This Row],[Axis]]="","",IFERROR(VLOOKUP(Level_Verification_Calculations[[#This Row],[Axis]],COORDINATE_DATA[],MATCH(Level_Verification_Calculations[[#Headers],[θ]],COORDINATE_DATA[#Headers],0),FALSE),""))</f>
        <v/>
      </c>
    </row>
    <row r="36" spans="2:25" s="1" customFormat="1" ht="12" x14ac:dyDescent="0.2">
      <c r="B36" s="18">
        <f>COUNT($B$7:B35)+1</f>
        <v>29</v>
      </c>
      <c r="C36" s="25" t="str" cm="1">
        <f t="array" ref="C36">IF(INDEX(AXIS_DATA[Axis], B36)=0,"",INDEX(AXIS_DATA[Axis], B36))</f>
        <v/>
      </c>
      <c r="D36" s="22" t="str">
        <f>IFERROR(VLOOKUP(Level_Verification_Calculations[[#This Row],[Axis]],AXIS_DATA[],MATCH(Level_Verification_Calculations[[#Headers],[Station]],AXIS_DATA[#Headers],0),FALSE),"")</f>
        <v/>
      </c>
      <c r="E36" s="22" t="str" cm="1">
        <f t="array" ref="E3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6" s="23" t="str" cm="1">
        <f t="array" ref="F3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6" s="24" t="str">
        <f>IFERROR(VLOOKUP(Level_Verification_Calculations[[#This Row],[Segment Number]],PROFILE_DATA[],MATCH(Level_Verification_Calculations[[#Headers],[Segment Type]],PROFILE_DATA[#Headers],0),FALSE),"")</f>
        <v/>
      </c>
      <c r="H36" s="16" t="str">
        <f>IFERROR(VLOOKUP(Level_Verification_Calculations[[#This Row],[Axis]],AXIS_DATA[],MATCH(Level_Verification_Calculations[[#Headers],[Section]],AXIS_DATA[#Headers],0),FALSE),"")</f>
        <v/>
      </c>
      <c r="I36" s="16" t="str">
        <f>IFERROR(VLOOKUP(Level_Verification_Calculations[[#This Row],[Section]],SECTION_DATA[],MATCH(Level_Verification_Calculations[[#Headers],[Alignment-Structure Axis Offset]],SECTION_DATA[#Headers],0),0),"")</f>
        <v/>
      </c>
      <c r="J36" s="16" t="str">
        <f>IFERROR(VLOOKUP(Level_Verification_Calculations[[#This Row],[Section]],SECTION_DATA[],MATCH(Level_Verification_Calculations[[#Headers],[Superelevation (e%)]],SECTION_DATA[#Headers],0),0),"")</f>
        <v/>
      </c>
      <c r="K36" s="16" t="str">
        <f>IFERROR(VLOOKUP(Level_Verification_Calculations[[#This Row],[Section]],SECTION_DATA[],MATCH(Level_Verification_Calculations[[#Headers],[Asphalt Thickness]],SECTION_DATA[#Headers],0),0),"")</f>
        <v/>
      </c>
      <c r="L3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6" s="16" t="str">
        <f>IFERROR(VLOOKUP(Level_Verification_Calculations[[#This Row],[Axis]],AXIS_DATA[],MATCH(Level_Verification_Calculations[[#Headers],[Axis Type]],AXIS_DATA[#Headers],0),FALSE),"")</f>
        <v/>
      </c>
      <c r="N36" s="16" t="str">
        <f>IFERROR(IF(Level_Verification_Calculations[[#This Row],[Axis Type]]="Fixed axis",0,VLOOKUP(Level_Verification_Calculations[[#This Row],[Section]],SECTION_DATA[],MATCH(Level_Verification_Calculations[[#Headers],[Bearing Height]],SECTION_DATA[#Headers],0),FALSE)),"")</f>
        <v/>
      </c>
      <c r="O36" s="16" t="str">
        <f>IFERROR(VLOOKUP(Level_Verification_Calculations[[#This Row],[Axis]],AXIS_DATA[],MATCH(Level_Verification_Calculations[[#Headers],[Foundation Level]],AXIS_DATA[#Headers],0),FALSE),"")</f>
        <v/>
      </c>
      <c r="P36" s="16" t="str">
        <f>IFERROR(VLOOKUP(Level_Verification_Calculations[[#This Row],[Axis]],AXIS_DATA[],MATCH(Level_Verification_Calculations[[#Headers],[Foundation Depth]],AXIS_DATA[#Headers],0),FALSE),"")</f>
        <v/>
      </c>
      <c r="Q36" s="16" t="str">
        <f>IFERROR(Level_Verification_Calculations[[#This Row],[Foundation Level]]+Level_Verification_Calculations[[#This Row],[Foundation Depth]],"")</f>
        <v/>
      </c>
      <c r="R36" s="21" t="str">
        <f>IFERROR(VLOOKUP(Level_Verification_Calculations[[#This Row],[Axis]],AXIS_DATA[],MATCH(Level_Verification_Calculations[[#Headers],[Pier Height (IFC DWG)]],AXIS_DATA[#Headers],0),FALSE),"")</f>
        <v/>
      </c>
      <c r="S36" s="16" t="str">
        <f>IFERROR(VLOOKUP(Level_Verification_Calculations[[#This Row],[Section]],SECTION_DATA[],MATCH(Level_Verification_Calculations[[#Headers],[Superstructure Depth]],SECTION_DATA[#Headers],0),FALSE),"")</f>
        <v/>
      </c>
      <c r="T36" s="16" t="str">
        <f>IFERROR(Level_Verification_Calculations[[#This Row],[Structure Elevation]]-Level_Verification_Calculations[[#This Row],[Superstructure Depth]]-Level_Verification_Calculations[[#This Row],[Bearing Height]],"")</f>
        <v/>
      </c>
      <c r="U36" s="21" t="str">
        <f>IFERROR(Level_Verification_Calculations[[#This Row],[Pier Elevation]]-Level_Verification_Calculations[[#This Row],[Top of Foundation Concrete]],"")</f>
        <v/>
      </c>
      <c r="V36" s="21" t="str">
        <f>IFERROR(Level_Verification_Calculations[[#This Row],[Pier Height (IFC DWG)]]-Level_Verification_Calculations[[#This Row],[Pier Height (Calculated)]],"")</f>
        <v/>
      </c>
      <c r="W36" s="83" t="str">
        <f>IF(Level_Verification_Calculations[[#This Row],[Axis]]="","",IFERROR(VLOOKUP(Level_Verification_Calculations[[#This Row],[Axis]],COORDINATE_DATA[],MATCH(Level_Verification_Calculations[[#Headers],[Axis Center
X Coordinate]],COORDINATE_DATA[#Headers],0),FALSE),""))</f>
        <v/>
      </c>
      <c r="X36" s="83" t="str">
        <f>IF(Level_Verification_Calculations[[#This Row],[Axis]]="","",IFERROR(VLOOKUP(Level_Verification_Calculations[[#This Row],[Axis]],COORDINATE_DATA[],MATCH(Level_Verification_Calculations[[#Headers],[Axis Center
Y Coordinate]],COORDINATE_DATA[#Headers],0),FALSE),""))</f>
        <v/>
      </c>
      <c r="Y36" s="83" t="str">
        <f>IF(Level_Verification_Calculations[[#This Row],[Axis]]="","",IFERROR(VLOOKUP(Level_Verification_Calculations[[#This Row],[Axis]],COORDINATE_DATA[],MATCH(Level_Verification_Calculations[[#Headers],[θ]],COORDINATE_DATA[#Headers],0),FALSE),""))</f>
        <v/>
      </c>
    </row>
    <row r="37" spans="2:25" s="1" customFormat="1" ht="12" x14ac:dyDescent="0.2">
      <c r="B37" s="18">
        <f>COUNT($B$7:B36)+1</f>
        <v>30</v>
      </c>
      <c r="C37" s="25" t="str" cm="1">
        <f t="array" ref="C37">IF(INDEX(AXIS_DATA[Axis], B37)=0,"",INDEX(AXIS_DATA[Axis], B37))</f>
        <v/>
      </c>
      <c r="D37" s="22" t="str">
        <f>IFERROR(VLOOKUP(Level_Verification_Calculations[[#This Row],[Axis]],AXIS_DATA[],MATCH(Level_Verification_Calculations[[#Headers],[Station]],AXIS_DATA[#Headers],0),FALSE),"")</f>
        <v/>
      </c>
      <c r="E37" s="22" t="str" cm="1">
        <f t="array" ref="E3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7" s="23" t="str" cm="1">
        <f t="array" ref="F3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7" s="24" t="str">
        <f>IFERROR(VLOOKUP(Level_Verification_Calculations[[#This Row],[Segment Number]],PROFILE_DATA[],MATCH(Level_Verification_Calculations[[#Headers],[Segment Type]],PROFILE_DATA[#Headers],0),FALSE),"")</f>
        <v/>
      </c>
      <c r="H37" s="16" t="str">
        <f>IFERROR(VLOOKUP(Level_Verification_Calculations[[#This Row],[Axis]],AXIS_DATA[],MATCH(Level_Verification_Calculations[[#Headers],[Section]],AXIS_DATA[#Headers],0),FALSE),"")</f>
        <v/>
      </c>
      <c r="I37" s="16" t="str">
        <f>IFERROR(VLOOKUP(Level_Verification_Calculations[[#This Row],[Section]],SECTION_DATA[],MATCH(Level_Verification_Calculations[[#Headers],[Alignment-Structure Axis Offset]],SECTION_DATA[#Headers],0),0),"")</f>
        <v/>
      </c>
      <c r="J37" s="16" t="str">
        <f>IFERROR(VLOOKUP(Level_Verification_Calculations[[#This Row],[Section]],SECTION_DATA[],MATCH(Level_Verification_Calculations[[#Headers],[Superelevation (e%)]],SECTION_DATA[#Headers],0),0),"")</f>
        <v/>
      </c>
      <c r="K37" s="16" t="str">
        <f>IFERROR(VLOOKUP(Level_Verification_Calculations[[#This Row],[Section]],SECTION_DATA[],MATCH(Level_Verification_Calculations[[#Headers],[Asphalt Thickness]],SECTION_DATA[#Headers],0),0),"")</f>
        <v/>
      </c>
      <c r="L3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7" s="16" t="str">
        <f>IFERROR(VLOOKUP(Level_Verification_Calculations[[#This Row],[Axis]],AXIS_DATA[],MATCH(Level_Verification_Calculations[[#Headers],[Axis Type]],AXIS_DATA[#Headers],0),FALSE),"")</f>
        <v/>
      </c>
      <c r="N37" s="16" t="str">
        <f>IFERROR(IF(Level_Verification_Calculations[[#This Row],[Axis Type]]="Fixed axis",0,VLOOKUP(Level_Verification_Calculations[[#This Row],[Section]],SECTION_DATA[],MATCH(Level_Verification_Calculations[[#Headers],[Bearing Height]],SECTION_DATA[#Headers],0),FALSE)),"")</f>
        <v/>
      </c>
      <c r="O37" s="16" t="str">
        <f>IFERROR(VLOOKUP(Level_Verification_Calculations[[#This Row],[Axis]],AXIS_DATA[],MATCH(Level_Verification_Calculations[[#Headers],[Foundation Level]],AXIS_DATA[#Headers],0),FALSE),"")</f>
        <v/>
      </c>
      <c r="P37" s="16" t="str">
        <f>IFERROR(VLOOKUP(Level_Verification_Calculations[[#This Row],[Axis]],AXIS_DATA[],MATCH(Level_Verification_Calculations[[#Headers],[Foundation Depth]],AXIS_DATA[#Headers],0),FALSE),"")</f>
        <v/>
      </c>
      <c r="Q37" s="16" t="str">
        <f>IFERROR(Level_Verification_Calculations[[#This Row],[Foundation Level]]+Level_Verification_Calculations[[#This Row],[Foundation Depth]],"")</f>
        <v/>
      </c>
      <c r="R37" s="21" t="str">
        <f>IFERROR(VLOOKUP(Level_Verification_Calculations[[#This Row],[Axis]],AXIS_DATA[],MATCH(Level_Verification_Calculations[[#Headers],[Pier Height (IFC DWG)]],AXIS_DATA[#Headers],0),FALSE),"")</f>
        <v/>
      </c>
      <c r="S37" s="16" t="str">
        <f>IFERROR(VLOOKUP(Level_Verification_Calculations[[#This Row],[Section]],SECTION_DATA[],MATCH(Level_Verification_Calculations[[#Headers],[Superstructure Depth]],SECTION_DATA[#Headers],0),FALSE),"")</f>
        <v/>
      </c>
      <c r="T37" s="16" t="str">
        <f>IFERROR(Level_Verification_Calculations[[#This Row],[Structure Elevation]]-Level_Verification_Calculations[[#This Row],[Superstructure Depth]]-Level_Verification_Calculations[[#This Row],[Bearing Height]],"")</f>
        <v/>
      </c>
      <c r="U37" s="21" t="str">
        <f>IFERROR(Level_Verification_Calculations[[#This Row],[Pier Elevation]]-Level_Verification_Calculations[[#This Row],[Top of Foundation Concrete]],"")</f>
        <v/>
      </c>
      <c r="V37" s="21" t="str">
        <f>IFERROR(Level_Verification_Calculations[[#This Row],[Pier Height (IFC DWG)]]-Level_Verification_Calculations[[#This Row],[Pier Height (Calculated)]],"")</f>
        <v/>
      </c>
      <c r="W37" s="83" t="str">
        <f>IF(Level_Verification_Calculations[[#This Row],[Axis]]="","",IFERROR(VLOOKUP(Level_Verification_Calculations[[#This Row],[Axis]],COORDINATE_DATA[],MATCH(Level_Verification_Calculations[[#Headers],[Axis Center
X Coordinate]],COORDINATE_DATA[#Headers],0),FALSE),""))</f>
        <v/>
      </c>
      <c r="X37" s="83" t="str">
        <f>IF(Level_Verification_Calculations[[#This Row],[Axis]]="","",IFERROR(VLOOKUP(Level_Verification_Calculations[[#This Row],[Axis]],COORDINATE_DATA[],MATCH(Level_Verification_Calculations[[#Headers],[Axis Center
Y Coordinate]],COORDINATE_DATA[#Headers],0),FALSE),""))</f>
        <v/>
      </c>
      <c r="Y37" s="83" t="str">
        <f>IF(Level_Verification_Calculations[[#This Row],[Axis]]="","",IFERROR(VLOOKUP(Level_Verification_Calculations[[#This Row],[Axis]],COORDINATE_DATA[],MATCH(Level_Verification_Calculations[[#Headers],[θ]],COORDINATE_DATA[#Headers],0),FALSE),""))</f>
        <v/>
      </c>
    </row>
    <row r="38" spans="2:25" s="1" customFormat="1" ht="12" x14ac:dyDescent="0.2">
      <c r="B38" s="18">
        <f>COUNT($B$7:B37)+1</f>
        <v>31</v>
      </c>
      <c r="C38" s="25" t="str" cm="1">
        <f t="array" ref="C38">IF(INDEX(AXIS_DATA[Axis], B38)=0,"",INDEX(AXIS_DATA[Axis], B38))</f>
        <v/>
      </c>
      <c r="D38" s="22" t="str">
        <f>IFERROR(VLOOKUP(Level_Verification_Calculations[[#This Row],[Axis]],AXIS_DATA[],MATCH(Level_Verification_Calculations[[#Headers],[Station]],AXIS_DATA[#Headers],0),FALSE),"")</f>
        <v/>
      </c>
      <c r="E38" s="22" t="str" cm="1">
        <f t="array" ref="E3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8" s="23" t="str" cm="1">
        <f t="array" ref="F3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8" s="24" t="str">
        <f>IFERROR(VLOOKUP(Level_Verification_Calculations[[#This Row],[Segment Number]],PROFILE_DATA[],MATCH(Level_Verification_Calculations[[#Headers],[Segment Type]],PROFILE_DATA[#Headers],0),FALSE),"")</f>
        <v/>
      </c>
      <c r="H38" s="16" t="str">
        <f>IFERROR(VLOOKUP(Level_Verification_Calculations[[#This Row],[Axis]],AXIS_DATA[],MATCH(Level_Verification_Calculations[[#Headers],[Section]],AXIS_DATA[#Headers],0),FALSE),"")</f>
        <v/>
      </c>
      <c r="I38" s="16" t="str">
        <f>IFERROR(VLOOKUP(Level_Verification_Calculations[[#This Row],[Section]],SECTION_DATA[],MATCH(Level_Verification_Calculations[[#Headers],[Alignment-Structure Axis Offset]],SECTION_DATA[#Headers],0),0),"")</f>
        <v/>
      </c>
      <c r="J38" s="16" t="str">
        <f>IFERROR(VLOOKUP(Level_Verification_Calculations[[#This Row],[Section]],SECTION_DATA[],MATCH(Level_Verification_Calculations[[#Headers],[Superelevation (e%)]],SECTION_DATA[#Headers],0),0),"")</f>
        <v/>
      </c>
      <c r="K38" s="16" t="str">
        <f>IFERROR(VLOOKUP(Level_Verification_Calculations[[#This Row],[Section]],SECTION_DATA[],MATCH(Level_Verification_Calculations[[#Headers],[Asphalt Thickness]],SECTION_DATA[#Headers],0),0),"")</f>
        <v/>
      </c>
      <c r="L38"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8" s="16" t="str">
        <f>IFERROR(VLOOKUP(Level_Verification_Calculations[[#This Row],[Axis]],AXIS_DATA[],MATCH(Level_Verification_Calculations[[#Headers],[Axis Type]],AXIS_DATA[#Headers],0),FALSE),"")</f>
        <v/>
      </c>
      <c r="N38" s="16" t="str">
        <f>IFERROR(IF(Level_Verification_Calculations[[#This Row],[Axis Type]]="Fixed axis",0,VLOOKUP(Level_Verification_Calculations[[#This Row],[Section]],SECTION_DATA[],MATCH(Level_Verification_Calculations[[#Headers],[Bearing Height]],SECTION_DATA[#Headers],0),FALSE)),"")</f>
        <v/>
      </c>
      <c r="O38" s="16" t="str">
        <f>IFERROR(VLOOKUP(Level_Verification_Calculations[[#This Row],[Axis]],AXIS_DATA[],MATCH(Level_Verification_Calculations[[#Headers],[Foundation Level]],AXIS_DATA[#Headers],0),FALSE),"")</f>
        <v/>
      </c>
      <c r="P38" s="16" t="str">
        <f>IFERROR(VLOOKUP(Level_Verification_Calculations[[#This Row],[Axis]],AXIS_DATA[],MATCH(Level_Verification_Calculations[[#Headers],[Foundation Depth]],AXIS_DATA[#Headers],0),FALSE),"")</f>
        <v/>
      </c>
      <c r="Q38" s="16" t="str">
        <f>IFERROR(Level_Verification_Calculations[[#This Row],[Foundation Level]]+Level_Verification_Calculations[[#This Row],[Foundation Depth]],"")</f>
        <v/>
      </c>
      <c r="R38" s="21" t="str">
        <f>IFERROR(VLOOKUP(Level_Verification_Calculations[[#This Row],[Axis]],AXIS_DATA[],MATCH(Level_Verification_Calculations[[#Headers],[Pier Height (IFC DWG)]],AXIS_DATA[#Headers],0),FALSE),"")</f>
        <v/>
      </c>
      <c r="S38" s="16" t="str">
        <f>IFERROR(VLOOKUP(Level_Verification_Calculations[[#This Row],[Section]],SECTION_DATA[],MATCH(Level_Verification_Calculations[[#Headers],[Superstructure Depth]],SECTION_DATA[#Headers],0),FALSE),"")</f>
        <v/>
      </c>
      <c r="T38" s="16" t="str">
        <f>IFERROR(Level_Verification_Calculations[[#This Row],[Structure Elevation]]-Level_Verification_Calculations[[#This Row],[Superstructure Depth]]-Level_Verification_Calculations[[#This Row],[Bearing Height]],"")</f>
        <v/>
      </c>
      <c r="U38" s="21" t="str">
        <f>IFERROR(Level_Verification_Calculations[[#This Row],[Pier Elevation]]-Level_Verification_Calculations[[#This Row],[Top of Foundation Concrete]],"")</f>
        <v/>
      </c>
      <c r="V38" s="21" t="str">
        <f>IFERROR(Level_Verification_Calculations[[#This Row],[Pier Height (IFC DWG)]]-Level_Verification_Calculations[[#This Row],[Pier Height (Calculated)]],"")</f>
        <v/>
      </c>
      <c r="W38" s="83" t="str">
        <f>IF(Level_Verification_Calculations[[#This Row],[Axis]]="","",IFERROR(VLOOKUP(Level_Verification_Calculations[[#This Row],[Axis]],COORDINATE_DATA[],MATCH(Level_Verification_Calculations[[#Headers],[Axis Center
X Coordinate]],COORDINATE_DATA[#Headers],0),FALSE),""))</f>
        <v/>
      </c>
      <c r="X38" s="83" t="str">
        <f>IF(Level_Verification_Calculations[[#This Row],[Axis]]="","",IFERROR(VLOOKUP(Level_Verification_Calculations[[#This Row],[Axis]],COORDINATE_DATA[],MATCH(Level_Verification_Calculations[[#Headers],[Axis Center
Y Coordinate]],COORDINATE_DATA[#Headers],0),FALSE),""))</f>
        <v/>
      </c>
      <c r="Y38" s="83" t="str">
        <f>IF(Level_Verification_Calculations[[#This Row],[Axis]]="","",IFERROR(VLOOKUP(Level_Verification_Calculations[[#This Row],[Axis]],COORDINATE_DATA[],MATCH(Level_Verification_Calculations[[#Headers],[θ]],COORDINATE_DATA[#Headers],0),FALSE),""))</f>
        <v/>
      </c>
    </row>
    <row r="39" spans="2:25" s="1" customFormat="1" ht="12" x14ac:dyDescent="0.2">
      <c r="B39" s="18">
        <f>COUNT($B$7:B38)+1</f>
        <v>32</v>
      </c>
      <c r="C39" s="25" t="str" cm="1">
        <f t="array" ref="C39">IF(INDEX(AXIS_DATA[Axis], B39)=0,"",INDEX(AXIS_DATA[Axis], B39))</f>
        <v/>
      </c>
      <c r="D39" s="22" t="str">
        <f>IFERROR(VLOOKUP(Level_Verification_Calculations[[#This Row],[Axis]],AXIS_DATA[],MATCH(Level_Verification_Calculations[[#Headers],[Station]],AXIS_DATA[#Headers],0),FALSE),"")</f>
        <v/>
      </c>
      <c r="E39" s="22" t="str" cm="1">
        <f t="array" ref="E3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9" s="23" t="str" cm="1">
        <f t="array" ref="F3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9" s="24" t="str">
        <f>IFERROR(VLOOKUP(Level_Verification_Calculations[[#This Row],[Segment Number]],PROFILE_DATA[],MATCH(Level_Verification_Calculations[[#Headers],[Segment Type]],PROFILE_DATA[#Headers],0),FALSE),"")</f>
        <v/>
      </c>
      <c r="H39" s="16" t="str">
        <f>IFERROR(VLOOKUP(Level_Verification_Calculations[[#This Row],[Axis]],AXIS_DATA[],MATCH(Level_Verification_Calculations[[#Headers],[Section]],AXIS_DATA[#Headers],0),FALSE),"")</f>
        <v/>
      </c>
      <c r="I39" s="16" t="str">
        <f>IFERROR(VLOOKUP(Level_Verification_Calculations[[#This Row],[Section]],SECTION_DATA[],MATCH(Level_Verification_Calculations[[#Headers],[Alignment-Structure Axis Offset]],SECTION_DATA[#Headers],0),0),"")</f>
        <v/>
      </c>
      <c r="J39" s="16" t="str">
        <f>IFERROR(VLOOKUP(Level_Verification_Calculations[[#This Row],[Section]],SECTION_DATA[],MATCH(Level_Verification_Calculations[[#Headers],[Superelevation (e%)]],SECTION_DATA[#Headers],0),0),"")</f>
        <v/>
      </c>
      <c r="K39" s="16" t="str">
        <f>IFERROR(VLOOKUP(Level_Verification_Calculations[[#This Row],[Section]],SECTION_DATA[],MATCH(Level_Verification_Calculations[[#Headers],[Asphalt Thickness]],SECTION_DATA[#Headers],0),0),"")</f>
        <v/>
      </c>
      <c r="L39"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9" s="16" t="str">
        <f>IFERROR(VLOOKUP(Level_Verification_Calculations[[#This Row],[Axis]],AXIS_DATA[],MATCH(Level_Verification_Calculations[[#Headers],[Axis Type]],AXIS_DATA[#Headers],0),FALSE),"")</f>
        <v/>
      </c>
      <c r="N39" s="16" t="str">
        <f>IFERROR(IF(Level_Verification_Calculations[[#This Row],[Axis Type]]="Fixed axis",0,VLOOKUP(Level_Verification_Calculations[[#This Row],[Section]],SECTION_DATA[],MATCH(Level_Verification_Calculations[[#Headers],[Bearing Height]],SECTION_DATA[#Headers],0),FALSE)),"")</f>
        <v/>
      </c>
      <c r="O39" s="16" t="str">
        <f>IFERROR(VLOOKUP(Level_Verification_Calculations[[#This Row],[Axis]],AXIS_DATA[],MATCH(Level_Verification_Calculations[[#Headers],[Foundation Level]],AXIS_DATA[#Headers],0),FALSE),"")</f>
        <v/>
      </c>
      <c r="P39" s="16" t="str">
        <f>IFERROR(VLOOKUP(Level_Verification_Calculations[[#This Row],[Axis]],AXIS_DATA[],MATCH(Level_Verification_Calculations[[#Headers],[Foundation Depth]],AXIS_DATA[#Headers],0),FALSE),"")</f>
        <v/>
      </c>
      <c r="Q39" s="16" t="str">
        <f>IFERROR(Level_Verification_Calculations[[#This Row],[Foundation Level]]+Level_Verification_Calculations[[#This Row],[Foundation Depth]],"")</f>
        <v/>
      </c>
      <c r="R39" s="21" t="str">
        <f>IFERROR(VLOOKUP(Level_Verification_Calculations[[#This Row],[Axis]],AXIS_DATA[],MATCH(Level_Verification_Calculations[[#Headers],[Pier Height (IFC DWG)]],AXIS_DATA[#Headers],0),FALSE),"")</f>
        <v/>
      </c>
      <c r="S39" s="16" t="str">
        <f>IFERROR(VLOOKUP(Level_Verification_Calculations[[#This Row],[Section]],SECTION_DATA[],MATCH(Level_Verification_Calculations[[#Headers],[Superstructure Depth]],SECTION_DATA[#Headers],0),FALSE),"")</f>
        <v/>
      </c>
      <c r="T39" s="16" t="str">
        <f>IFERROR(Level_Verification_Calculations[[#This Row],[Structure Elevation]]-Level_Verification_Calculations[[#This Row],[Superstructure Depth]]-Level_Verification_Calculations[[#This Row],[Bearing Height]],"")</f>
        <v/>
      </c>
      <c r="U39" s="21" t="str">
        <f>IFERROR(Level_Verification_Calculations[[#This Row],[Pier Elevation]]-Level_Verification_Calculations[[#This Row],[Top of Foundation Concrete]],"")</f>
        <v/>
      </c>
      <c r="V39" s="21" t="str">
        <f>IFERROR(Level_Verification_Calculations[[#This Row],[Pier Height (IFC DWG)]]-Level_Verification_Calculations[[#This Row],[Pier Height (Calculated)]],"")</f>
        <v/>
      </c>
      <c r="W39" s="83" t="str">
        <f>IF(Level_Verification_Calculations[[#This Row],[Axis]]="","",IFERROR(VLOOKUP(Level_Verification_Calculations[[#This Row],[Axis]],COORDINATE_DATA[],MATCH(Level_Verification_Calculations[[#Headers],[Axis Center
X Coordinate]],COORDINATE_DATA[#Headers],0),FALSE),""))</f>
        <v/>
      </c>
      <c r="X39" s="83" t="str">
        <f>IF(Level_Verification_Calculations[[#This Row],[Axis]]="","",IFERROR(VLOOKUP(Level_Verification_Calculations[[#This Row],[Axis]],COORDINATE_DATA[],MATCH(Level_Verification_Calculations[[#Headers],[Axis Center
Y Coordinate]],COORDINATE_DATA[#Headers],0),FALSE),""))</f>
        <v/>
      </c>
      <c r="Y39" s="83" t="str">
        <f>IF(Level_Verification_Calculations[[#This Row],[Axis]]="","",IFERROR(VLOOKUP(Level_Verification_Calculations[[#This Row],[Axis]],COORDINATE_DATA[],MATCH(Level_Verification_Calculations[[#Headers],[θ]],COORDINATE_DATA[#Headers],0),FALSE),""))</f>
        <v/>
      </c>
    </row>
    <row r="40" spans="2:25" s="1" customFormat="1" ht="12" x14ac:dyDescent="0.2">
      <c r="B40" s="18">
        <f>COUNT($B$7:B39)+1</f>
        <v>33</v>
      </c>
      <c r="C40" s="25" t="str" cm="1">
        <f t="array" ref="C40">IF(INDEX(AXIS_DATA[Axis], B40)=0,"",INDEX(AXIS_DATA[Axis], B40))</f>
        <v/>
      </c>
      <c r="D40" s="22" t="str">
        <f>IFERROR(VLOOKUP(Level_Verification_Calculations[[#This Row],[Axis]],AXIS_DATA[],MATCH(Level_Verification_Calculations[[#Headers],[Station]],AXIS_DATA[#Headers],0),FALSE),"")</f>
        <v/>
      </c>
      <c r="E40" s="22" t="str" cm="1">
        <f t="array" ref="E4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0" s="23" t="str" cm="1">
        <f t="array" ref="F4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0" s="24" t="str">
        <f>IFERROR(VLOOKUP(Level_Verification_Calculations[[#This Row],[Segment Number]],PROFILE_DATA[],MATCH(Level_Verification_Calculations[[#Headers],[Segment Type]],PROFILE_DATA[#Headers],0),FALSE),"")</f>
        <v/>
      </c>
      <c r="H40" s="16" t="str">
        <f>IFERROR(VLOOKUP(Level_Verification_Calculations[[#This Row],[Axis]],AXIS_DATA[],MATCH(Level_Verification_Calculations[[#Headers],[Section]],AXIS_DATA[#Headers],0),FALSE),"")</f>
        <v/>
      </c>
      <c r="I40" s="16" t="str">
        <f>IFERROR(VLOOKUP(Level_Verification_Calculations[[#This Row],[Section]],SECTION_DATA[],MATCH(Level_Verification_Calculations[[#Headers],[Alignment-Structure Axis Offset]],SECTION_DATA[#Headers],0),0),"")</f>
        <v/>
      </c>
      <c r="J40" s="16" t="str">
        <f>IFERROR(VLOOKUP(Level_Verification_Calculations[[#This Row],[Section]],SECTION_DATA[],MATCH(Level_Verification_Calculations[[#Headers],[Superelevation (e%)]],SECTION_DATA[#Headers],0),0),"")</f>
        <v/>
      </c>
      <c r="K40" s="16" t="str">
        <f>IFERROR(VLOOKUP(Level_Verification_Calculations[[#This Row],[Section]],SECTION_DATA[],MATCH(Level_Verification_Calculations[[#Headers],[Asphalt Thickness]],SECTION_DATA[#Headers],0),0),"")</f>
        <v/>
      </c>
      <c r="L40"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0" s="16" t="str">
        <f>IFERROR(VLOOKUP(Level_Verification_Calculations[[#This Row],[Axis]],AXIS_DATA[],MATCH(Level_Verification_Calculations[[#Headers],[Axis Type]],AXIS_DATA[#Headers],0),FALSE),"")</f>
        <v/>
      </c>
      <c r="N40" s="16" t="str">
        <f>IFERROR(IF(Level_Verification_Calculations[[#This Row],[Axis Type]]="Fixed axis",0,VLOOKUP(Level_Verification_Calculations[[#This Row],[Section]],SECTION_DATA[],MATCH(Level_Verification_Calculations[[#Headers],[Bearing Height]],SECTION_DATA[#Headers],0),FALSE)),"")</f>
        <v/>
      </c>
      <c r="O40" s="16" t="str">
        <f>IFERROR(VLOOKUP(Level_Verification_Calculations[[#This Row],[Axis]],AXIS_DATA[],MATCH(Level_Verification_Calculations[[#Headers],[Foundation Level]],AXIS_DATA[#Headers],0),FALSE),"")</f>
        <v/>
      </c>
      <c r="P40" s="16" t="str">
        <f>IFERROR(VLOOKUP(Level_Verification_Calculations[[#This Row],[Axis]],AXIS_DATA[],MATCH(Level_Verification_Calculations[[#Headers],[Foundation Depth]],AXIS_DATA[#Headers],0),FALSE),"")</f>
        <v/>
      </c>
      <c r="Q40" s="16" t="str">
        <f>IFERROR(Level_Verification_Calculations[[#This Row],[Foundation Level]]+Level_Verification_Calculations[[#This Row],[Foundation Depth]],"")</f>
        <v/>
      </c>
      <c r="R40" s="21" t="str">
        <f>IFERROR(VLOOKUP(Level_Verification_Calculations[[#This Row],[Axis]],AXIS_DATA[],MATCH(Level_Verification_Calculations[[#Headers],[Pier Height (IFC DWG)]],AXIS_DATA[#Headers],0),FALSE),"")</f>
        <v/>
      </c>
      <c r="S40" s="16" t="str">
        <f>IFERROR(VLOOKUP(Level_Verification_Calculations[[#This Row],[Section]],SECTION_DATA[],MATCH(Level_Verification_Calculations[[#Headers],[Superstructure Depth]],SECTION_DATA[#Headers],0),FALSE),"")</f>
        <v/>
      </c>
      <c r="T40" s="16" t="str">
        <f>IFERROR(Level_Verification_Calculations[[#This Row],[Structure Elevation]]-Level_Verification_Calculations[[#This Row],[Superstructure Depth]]-Level_Verification_Calculations[[#This Row],[Bearing Height]],"")</f>
        <v/>
      </c>
      <c r="U40" s="21" t="str">
        <f>IFERROR(Level_Verification_Calculations[[#This Row],[Pier Elevation]]-Level_Verification_Calculations[[#This Row],[Top of Foundation Concrete]],"")</f>
        <v/>
      </c>
      <c r="V40" s="21" t="str">
        <f>IFERROR(Level_Verification_Calculations[[#This Row],[Pier Height (IFC DWG)]]-Level_Verification_Calculations[[#This Row],[Pier Height (Calculated)]],"")</f>
        <v/>
      </c>
      <c r="W40" s="83" t="str">
        <f>IF(Level_Verification_Calculations[[#This Row],[Axis]]="","",IFERROR(VLOOKUP(Level_Verification_Calculations[[#This Row],[Axis]],COORDINATE_DATA[],MATCH(Level_Verification_Calculations[[#Headers],[Axis Center
X Coordinate]],COORDINATE_DATA[#Headers],0),FALSE),""))</f>
        <v/>
      </c>
      <c r="X40" s="83" t="str">
        <f>IF(Level_Verification_Calculations[[#This Row],[Axis]]="","",IFERROR(VLOOKUP(Level_Verification_Calculations[[#This Row],[Axis]],COORDINATE_DATA[],MATCH(Level_Verification_Calculations[[#Headers],[Axis Center
Y Coordinate]],COORDINATE_DATA[#Headers],0),FALSE),""))</f>
        <v/>
      </c>
      <c r="Y40" s="83" t="str">
        <f>IF(Level_Verification_Calculations[[#This Row],[Axis]]="","",IFERROR(VLOOKUP(Level_Verification_Calculations[[#This Row],[Axis]],COORDINATE_DATA[],MATCH(Level_Verification_Calculations[[#Headers],[θ]],COORDINATE_DATA[#Headers],0),FALSE),""))</f>
        <v/>
      </c>
    </row>
    <row r="41" spans="2:25" s="1" customFormat="1" ht="12" x14ac:dyDescent="0.2">
      <c r="B41" s="18">
        <f>COUNT($B$7:B40)+1</f>
        <v>34</v>
      </c>
      <c r="C41" s="25" t="str" cm="1">
        <f t="array" ref="C41">IF(INDEX(AXIS_DATA[Axis], B41)=0,"",INDEX(AXIS_DATA[Axis], B41))</f>
        <v/>
      </c>
      <c r="D41" s="22" t="str">
        <f>IFERROR(VLOOKUP(Level_Verification_Calculations[[#This Row],[Axis]],AXIS_DATA[],MATCH(Level_Verification_Calculations[[#Headers],[Station]],AXIS_DATA[#Headers],0),FALSE),"")</f>
        <v/>
      </c>
      <c r="E41" s="22" t="str" cm="1">
        <f t="array" ref="E4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1" s="23" t="str" cm="1">
        <f t="array" ref="F4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1" s="24" t="str">
        <f>IFERROR(VLOOKUP(Level_Verification_Calculations[[#This Row],[Segment Number]],PROFILE_DATA[],MATCH(Level_Verification_Calculations[[#Headers],[Segment Type]],PROFILE_DATA[#Headers],0),FALSE),"")</f>
        <v/>
      </c>
      <c r="H41" s="16" t="str">
        <f>IFERROR(VLOOKUP(Level_Verification_Calculations[[#This Row],[Axis]],AXIS_DATA[],MATCH(Level_Verification_Calculations[[#Headers],[Section]],AXIS_DATA[#Headers],0),FALSE),"")</f>
        <v/>
      </c>
      <c r="I41" s="16" t="str">
        <f>IFERROR(VLOOKUP(Level_Verification_Calculations[[#This Row],[Section]],SECTION_DATA[],MATCH(Level_Verification_Calculations[[#Headers],[Alignment-Structure Axis Offset]],SECTION_DATA[#Headers],0),0),"")</f>
        <v/>
      </c>
      <c r="J41" s="16" t="str">
        <f>IFERROR(VLOOKUP(Level_Verification_Calculations[[#This Row],[Section]],SECTION_DATA[],MATCH(Level_Verification_Calculations[[#Headers],[Superelevation (e%)]],SECTION_DATA[#Headers],0),0),"")</f>
        <v/>
      </c>
      <c r="K41" s="16" t="str">
        <f>IFERROR(VLOOKUP(Level_Verification_Calculations[[#This Row],[Section]],SECTION_DATA[],MATCH(Level_Verification_Calculations[[#Headers],[Asphalt Thickness]],SECTION_DATA[#Headers],0),0),"")</f>
        <v/>
      </c>
      <c r="L41"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1" s="16" t="str">
        <f>IFERROR(VLOOKUP(Level_Verification_Calculations[[#This Row],[Axis]],AXIS_DATA[],MATCH(Level_Verification_Calculations[[#Headers],[Axis Type]],AXIS_DATA[#Headers],0),FALSE),"")</f>
        <v/>
      </c>
      <c r="N41" s="16" t="str">
        <f>IFERROR(IF(Level_Verification_Calculations[[#This Row],[Axis Type]]="Fixed axis",0,VLOOKUP(Level_Verification_Calculations[[#This Row],[Section]],SECTION_DATA[],MATCH(Level_Verification_Calculations[[#Headers],[Bearing Height]],SECTION_DATA[#Headers],0),FALSE)),"")</f>
        <v/>
      </c>
      <c r="O41" s="16" t="str">
        <f>IFERROR(VLOOKUP(Level_Verification_Calculations[[#This Row],[Axis]],AXIS_DATA[],MATCH(Level_Verification_Calculations[[#Headers],[Foundation Level]],AXIS_DATA[#Headers],0),FALSE),"")</f>
        <v/>
      </c>
      <c r="P41" s="16" t="str">
        <f>IFERROR(VLOOKUP(Level_Verification_Calculations[[#This Row],[Axis]],AXIS_DATA[],MATCH(Level_Verification_Calculations[[#Headers],[Foundation Depth]],AXIS_DATA[#Headers],0),FALSE),"")</f>
        <v/>
      </c>
      <c r="Q41" s="16" t="str">
        <f>IFERROR(Level_Verification_Calculations[[#This Row],[Foundation Level]]+Level_Verification_Calculations[[#This Row],[Foundation Depth]],"")</f>
        <v/>
      </c>
      <c r="R41" s="21" t="str">
        <f>IFERROR(VLOOKUP(Level_Verification_Calculations[[#This Row],[Axis]],AXIS_DATA[],MATCH(Level_Verification_Calculations[[#Headers],[Pier Height (IFC DWG)]],AXIS_DATA[#Headers],0),FALSE),"")</f>
        <v/>
      </c>
      <c r="S41" s="16" t="str">
        <f>IFERROR(VLOOKUP(Level_Verification_Calculations[[#This Row],[Section]],SECTION_DATA[],MATCH(Level_Verification_Calculations[[#Headers],[Superstructure Depth]],SECTION_DATA[#Headers],0),FALSE),"")</f>
        <v/>
      </c>
      <c r="T41" s="16" t="str">
        <f>IFERROR(Level_Verification_Calculations[[#This Row],[Structure Elevation]]-Level_Verification_Calculations[[#This Row],[Superstructure Depth]]-Level_Verification_Calculations[[#This Row],[Bearing Height]],"")</f>
        <v/>
      </c>
      <c r="U41" s="21" t="str">
        <f>IFERROR(Level_Verification_Calculations[[#This Row],[Pier Elevation]]-Level_Verification_Calculations[[#This Row],[Top of Foundation Concrete]],"")</f>
        <v/>
      </c>
      <c r="V41" s="21" t="str">
        <f>IFERROR(Level_Verification_Calculations[[#This Row],[Pier Height (IFC DWG)]]-Level_Verification_Calculations[[#This Row],[Pier Height (Calculated)]],"")</f>
        <v/>
      </c>
      <c r="W41" s="83" t="str">
        <f>IF(Level_Verification_Calculations[[#This Row],[Axis]]="","",IFERROR(VLOOKUP(Level_Verification_Calculations[[#This Row],[Axis]],COORDINATE_DATA[],MATCH(Level_Verification_Calculations[[#Headers],[Axis Center
X Coordinate]],COORDINATE_DATA[#Headers],0),FALSE),""))</f>
        <v/>
      </c>
      <c r="X41" s="83" t="str">
        <f>IF(Level_Verification_Calculations[[#This Row],[Axis]]="","",IFERROR(VLOOKUP(Level_Verification_Calculations[[#This Row],[Axis]],COORDINATE_DATA[],MATCH(Level_Verification_Calculations[[#Headers],[Axis Center
Y Coordinate]],COORDINATE_DATA[#Headers],0),FALSE),""))</f>
        <v/>
      </c>
      <c r="Y41" s="83" t="str">
        <f>IF(Level_Verification_Calculations[[#This Row],[Axis]]="","",IFERROR(VLOOKUP(Level_Verification_Calculations[[#This Row],[Axis]],COORDINATE_DATA[],MATCH(Level_Verification_Calculations[[#Headers],[θ]],COORDINATE_DATA[#Headers],0),FALSE),""))</f>
        <v/>
      </c>
    </row>
    <row r="42" spans="2:25" s="1" customFormat="1" ht="12" x14ac:dyDescent="0.2">
      <c r="B42" s="18">
        <f>COUNT($B$7:B41)+1</f>
        <v>35</v>
      </c>
      <c r="C42" s="25" t="str" cm="1">
        <f t="array" ref="C42">IF(INDEX(AXIS_DATA[Axis], B42)=0,"",INDEX(AXIS_DATA[Axis], B42))</f>
        <v/>
      </c>
      <c r="D42" s="22" t="str">
        <f>IFERROR(VLOOKUP(Level_Verification_Calculations[[#This Row],[Axis]],AXIS_DATA[],MATCH(Level_Verification_Calculations[[#Headers],[Station]],AXIS_DATA[#Headers],0),FALSE),"")</f>
        <v/>
      </c>
      <c r="E42" s="22" t="str" cm="1">
        <f t="array" ref="E4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2" s="23" t="str" cm="1">
        <f t="array" ref="F4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2" s="24" t="str">
        <f>IFERROR(VLOOKUP(Level_Verification_Calculations[[#This Row],[Segment Number]],PROFILE_DATA[],MATCH(Level_Verification_Calculations[[#Headers],[Segment Type]],PROFILE_DATA[#Headers],0),FALSE),"")</f>
        <v/>
      </c>
      <c r="H42" s="16" t="str">
        <f>IFERROR(VLOOKUP(Level_Verification_Calculations[[#This Row],[Axis]],AXIS_DATA[],MATCH(Level_Verification_Calculations[[#Headers],[Section]],AXIS_DATA[#Headers],0),FALSE),"")</f>
        <v/>
      </c>
      <c r="I42" s="16" t="str">
        <f>IFERROR(VLOOKUP(Level_Verification_Calculations[[#This Row],[Section]],SECTION_DATA[],MATCH(Level_Verification_Calculations[[#Headers],[Alignment-Structure Axis Offset]],SECTION_DATA[#Headers],0),0),"")</f>
        <v/>
      </c>
      <c r="J42" s="16" t="str">
        <f>IFERROR(VLOOKUP(Level_Verification_Calculations[[#This Row],[Section]],SECTION_DATA[],MATCH(Level_Verification_Calculations[[#Headers],[Superelevation (e%)]],SECTION_DATA[#Headers],0),0),"")</f>
        <v/>
      </c>
      <c r="K42" s="16" t="str">
        <f>IFERROR(VLOOKUP(Level_Verification_Calculations[[#This Row],[Section]],SECTION_DATA[],MATCH(Level_Verification_Calculations[[#Headers],[Asphalt Thickness]],SECTION_DATA[#Headers],0),0),"")</f>
        <v/>
      </c>
      <c r="L42"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2" s="16" t="str">
        <f>IFERROR(VLOOKUP(Level_Verification_Calculations[[#This Row],[Axis]],AXIS_DATA[],MATCH(Level_Verification_Calculations[[#Headers],[Axis Type]],AXIS_DATA[#Headers],0),FALSE),"")</f>
        <v/>
      </c>
      <c r="N42" s="16" t="str">
        <f>IFERROR(IF(Level_Verification_Calculations[[#This Row],[Axis Type]]="Fixed axis",0,VLOOKUP(Level_Verification_Calculations[[#This Row],[Section]],SECTION_DATA[],MATCH(Level_Verification_Calculations[[#Headers],[Bearing Height]],SECTION_DATA[#Headers],0),FALSE)),"")</f>
        <v/>
      </c>
      <c r="O42" s="16" t="str">
        <f>IFERROR(VLOOKUP(Level_Verification_Calculations[[#This Row],[Axis]],AXIS_DATA[],MATCH(Level_Verification_Calculations[[#Headers],[Foundation Level]],AXIS_DATA[#Headers],0),FALSE),"")</f>
        <v/>
      </c>
      <c r="P42" s="16" t="str">
        <f>IFERROR(VLOOKUP(Level_Verification_Calculations[[#This Row],[Axis]],AXIS_DATA[],MATCH(Level_Verification_Calculations[[#Headers],[Foundation Depth]],AXIS_DATA[#Headers],0),FALSE),"")</f>
        <v/>
      </c>
      <c r="Q42" s="16" t="str">
        <f>IFERROR(Level_Verification_Calculations[[#This Row],[Foundation Level]]+Level_Verification_Calculations[[#This Row],[Foundation Depth]],"")</f>
        <v/>
      </c>
      <c r="R42" s="21" t="str">
        <f>IFERROR(VLOOKUP(Level_Verification_Calculations[[#This Row],[Axis]],AXIS_DATA[],MATCH(Level_Verification_Calculations[[#Headers],[Pier Height (IFC DWG)]],AXIS_DATA[#Headers],0),FALSE),"")</f>
        <v/>
      </c>
      <c r="S42" s="16" t="str">
        <f>IFERROR(VLOOKUP(Level_Verification_Calculations[[#This Row],[Section]],SECTION_DATA[],MATCH(Level_Verification_Calculations[[#Headers],[Superstructure Depth]],SECTION_DATA[#Headers],0),FALSE),"")</f>
        <v/>
      </c>
      <c r="T42" s="16" t="str">
        <f>IFERROR(Level_Verification_Calculations[[#This Row],[Structure Elevation]]-Level_Verification_Calculations[[#This Row],[Superstructure Depth]]-Level_Verification_Calculations[[#This Row],[Bearing Height]],"")</f>
        <v/>
      </c>
      <c r="U42" s="21" t="str">
        <f>IFERROR(Level_Verification_Calculations[[#This Row],[Pier Elevation]]-Level_Verification_Calculations[[#This Row],[Top of Foundation Concrete]],"")</f>
        <v/>
      </c>
      <c r="V42" s="21" t="str">
        <f>IFERROR(Level_Verification_Calculations[[#This Row],[Pier Height (IFC DWG)]]-Level_Verification_Calculations[[#This Row],[Pier Height (Calculated)]],"")</f>
        <v/>
      </c>
      <c r="W42" s="83" t="str">
        <f>IF(Level_Verification_Calculations[[#This Row],[Axis]]="","",IFERROR(VLOOKUP(Level_Verification_Calculations[[#This Row],[Axis]],COORDINATE_DATA[],MATCH(Level_Verification_Calculations[[#Headers],[Axis Center
X Coordinate]],COORDINATE_DATA[#Headers],0),FALSE),""))</f>
        <v/>
      </c>
      <c r="X42" s="83" t="str">
        <f>IF(Level_Verification_Calculations[[#This Row],[Axis]]="","",IFERROR(VLOOKUP(Level_Verification_Calculations[[#This Row],[Axis]],COORDINATE_DATA[],MATCH(Level_Verification_Calculations[[#Headers],[Axis Center
Y Coordinate]],COORDINATE_DATA[#Headers],0),FALSE),""))</f>
        <v/>
      </c>
      <c r="Y42" s="83" t="str">
        <f>IF(Level_Verification_Calculations[[#This Row],[Axis]]="","",IFERROR(VLOOKUP(Level_Verification_Calculations[[#This Row],[Axis]],COORDINATE_DATA[],MATCH(Level_Verification_Calculations[[#Headers],[θ]],COORDINATE_DATA[#Headers],0),FALSE),""))</f>
        <v/>
      </c>
    </row>
    <row r="43" spans="2:25" s="1" customFormat="1" ht="12" x14ac:dyDescent="0.2">
      <c r="B43" s="18">
        <f>COUNT($B$7:B42)+1</f>
        <v>36</v>
      </c>
      <c r="C43" s="25" t="str" cm="1">
        <f t="array" ref="C43">IF(INDEX(AXIS_DATA[Axis], B43)=0,"",INDEX(AXIS_DATA[Axis], B43))</f>
        <v/>
      </c>
      <c r="D43" s="22" t="str">
        <f>IFERROR(VLOOKUP(Level_Verification_Calculations[[#This Row],[Axis]],AXIS_DATA[],MATCH(Level_Verification_Calculations[[#Headers],[Station]],AXIS_DATA[#Headers],0),FALSE),"")</f>
        <v/>
      </c>
      <c r="E43" s="22" t="str" cm="1">
        <f t="array" ref="E4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3" s="23" t="str" cm="1">
        <f t="array" ref="F4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3" s="24" t="str">
        <f>IFERROR(VLOOKUP(Level_Verification_Calculations[[#This Row],[Segment Number]],PROFILE_DATA[],MATCH(Level_Verification_Calculations[[#Headers],[Segment Type]],PROFILE_DATA[#Headers],0),FALSE),"")</f>
        <v/>
      </c>
      <c r="H43" s="16" t="str">
        <f>IFERROR(VLOOKUP(Level_Verification_Calculations[[#This Row],[Axis]],AXIS_DATA[],MATCH(Level_Verification_Calculations[[#Headers],[Section]],AXIS_DATA[#Headers],0),FALSE),"")</f>
        <v/>
      </c>
      <c r="I43" s="16" t="str">
        <f>IFERROR(VLOOKUP(Level_Verification_Calculations[[#This Row],[Section]],SECTION_DATA[],MATCH(Level_Verification_Calculations[[#Headers],[Alignment-Structure Axis Offset]],SECTION_DATA[#Headers],0),0),"")</f>
        <v/>
      </c>
      <c r="J43" s="16" t="str">
        <f>IFERROR(VLOOKUP(Level_Verification_Calculations[[#This Row],[Section]],SECTION_DATA[],MATCH(Level_Verification_Calculations[[#Headers],[Superelevation (e%)]],SECTION_DATA[#Headers],0),0),"")</f>
        <v/>
      </c>
      <c r="K43" s="16" t="str">
        <f>IFERROR(VLOOKUP(Level_Verification_Calculations[[#This Row],[Section]],SECTION_DATA[],MATCH(Level_Verification_Calculations[[#Headers],[Asphalt Thickness]],SECTION_DATA[#Headers],0),0),"")</f>
        <v/>
      </c>
      <c r="L43"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3" s="16" t="str">
        <f>IFERROR(VLOOKUP(Level_Verification_Calculations[[#This Row],[Axis]],AXIS_DATA[],MATCH(Level_Verification_Calculations[[#Headers],[Axis Type]],AXIS_DATA[#Headers],0),FALSE),"")</f>
        <v/>
      </c>
      <c r="N43" s="16" t="str">
        <f>IFERROR(IF(Level_Verification_Calculations[[#This Row],[Axis Type]]="Fixed axis",0,VLOOKUP(Level_Verification_Calculations[[#This Row],[Section]],SECTION_DATA[],MATCH(Level_Verification_Calculations[[#Headers],[Bearing Height]],SECTION_DATA[#Headers],0),FALSE)),"")</f>
        <v/>
      </c>
      <c r="O43" s="16" t="str">
        <f>IFERROR(VLOOKUP(Level_Verification_Calculations[[#This Row],[Axis]],AXIS_DATA[],MATCH(Level_Verification_Calculations[[#Headers],[Foundation Level]],AXIS_DATA[#Headers],0),FALSE),"")</f>
        <v/>
      </c>
      <c r="P43" s="16" t="str">
        <f>IFERROR(VLOOKUP(Level_Verification_Calculations[[#This Row],[Axis]],AXIS_DATA[],MATCH(Level_Verification_Calculations[[#Headers],[Foundation Depth]],AXIS_DATA[#Headers],0),FALSE),"")</f>
        <v/>
      </c>
      <c r="Q43" s="16" t="str">
        <f>IFERROR(Level_Verification_Calculations[[#This Row],[Foundation Level]]+Level_Verification_Calculations[[#This Row],[Foundation Depth]],"")</f>
        <v/>
      </c>
      <c r="R43" s="21" t="str">
        <f>IFERROR(VLOOKUP(Level_Verification_Calculations[[#This Row],[Axis]],AXIS_DATA[],MATCH(Level_Verification_Calculations[[#Headers],[Pier Height (IFC DWG)]],AXIS_DATA[#Headers],0),FALSE),"")</f>
        <v/>
      </c>
      <c r="S43" s="16" t="str">
        <f>IFERROR(VLOOKUP(Level_Verification_Calculations[[#This Row],[Section]],SECTION_DATA[],MATCH(Level_Verification_Calculations[[#Headers],[Superstructure Depth]],SECTION_DATA[#Headers],0),FALSE),"")</f>
        <v/>
      </c>
      <c r="T43" s="16" t="str">
        <f>IFERROR(Level_Verification_Calculations[[#This Row],[Structure Elevation]]-Level_Verification_Calculations[[#This Row],[Superstructure Depth]]-Level_Verification_Calculations[[#This Row],[Bearing Height]],"")</f>
        <v/>
      </c>
      <c r="U43" s="21" t="str">
        <f>IFERROR(Level_Verification_Calculations[[#This Row],[Pier Elevation]]-Level_Verification_Calculations[[#This Row],[Top of Foundation Concrete]],"")</f>
        <v/>
      </c>
      <c r="V43" s="21" t="str">
        <f>IFERROR(Level_Verification_Calculations[[#This Row],[Pier Height (IFC DWG)]]-Level_Verification_Calculations[[#This Row],[Pier Height (Calculated)]],"")</f>
        <v/>
      </c>
      <c r="W43" s="83" t="str">
        <f>IF(Level_Verification_Calculations[[#This Row],[Axis]]="","",IFERROR(VLOOKUP(Level_Verification_Calculations[[#This Row],[Axis]],COORDINATE_DATA[],MATCH(Level_Verification_Calculations[[#Headers],[Axis Center
X Coordinate]],COORDINATE_DATA[#Headers],0),FALSE),""))</f>
        <v/>
      </c>
      <c r="X43" s="83" t="str">
        <f>IF(Level_Verification_Calculations[[#This Row],[Axis]]="","",IFERROR(VLOOKUP(Level_Verification_Calculations[[#This Row],[Axis]],COORDINATE_DATA[],MATCH(Level_Verification_Calculations[[#Headers],[Axis Center
Y Coordinate]],COORDINATE_DATA[#Headers],0),FALSE),""))</f>
        <v/>
      </c>
      <c r="Y43" s="83" t="str">
        <f>IF(Level_Verification_Calculations[[#This Row],[Axis]]="","",IFERROR(VLOOKUP(Level_Verification_Calculations[[#This Row],[Axis]],COORDINATE_DATA[],MATCH(Level_Verification_Calculations[[#Headers],[θ]],COORDINATE_DATA[#Headers],0),FALSE),""))</f>
        <v/>
      </c>
    </row>
    <row r="44" spans="2:25" s="1" customFormat="1" ht="12" x14ac:dyDescent="0.2">
      <c r="B44" s="18">
        <f>COUNT($B$7:B43)+1</f>
        <v>37</v>
      </c>
      <c r="C44" s="25" t="str" cm="1">
        <f t="array" ref="C44">IF(INDEX(AXIS_DATA[Axis], B44)=0,"",INDEX(AXIS_DATA[Axis], B44))</f>
        <v/>
      </c>
      <c r="D44" s="22" t="str">
        <f>IFERROR(VLOOKUP(Level_Verification_Calculations[[#This Row],[Axis]],AXIS_DATA[],MATCH(Level_Verification_Calculations[[#Headers],[Station]],AXIS_DATA[#Headers],0),FALSE),"")</f>
        <v/>
      </c>
      <c r="E44" s="22" t="str" cm="1">
        <f t="array" ref="E4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4" s="23" t="str" cm="1">
        <f t="array" ref="F4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4" s="24" t="str">
        <f>IFERROR(VLOOKUP(Level_Verification_Calculations[[#This Row],[Segment Number]],PROFILE_DATA[],MATCH(Level_Verification_Calculations[[#Headers],[Segment Type]],PROFILE_DATA[#Headers],0),FALSE),"")</f>
        <v/>
      </c>
      <c r="H44" s="16" t="str">
        <f>IFERROR(VLOOKUP(Level_Verification_Calculations[[#This Row],[Axis]],AXIS_DATA[],MATCH(Level_Verification_Calculations[[#Headers],[Section]],AXIS_DATA[#Headers],0),FALSE),"")</f>
        <v/>
      </c>
      <c r="I44" s="16" t="str">
        <f>IFERROR(VLOOKUP(Level_Verification_Calculations[[#This Row],[Section]],SECTION_DATA[],MATCH(Level_Verification_Calculations[[#Headers],[Alignment-Structure Axis Offset]],SECTION_DATA[#Headers],0),0),"")</f>
        <v/>
      </c>
      <c r="J44" s="16" t="str">
        <f>IFERROR(VLOOKUP(Level_Verification_Calculations[[#This Row],[Section]],SECTION_DATA[],MATCH(Level_Verification_Calculations[[#Headers],[Superelevation (e%)]],SECTION_DATA[#Headers],0),0),"")</f>
        <v/>
      </c>
      <c r="K44" s="16" t="str">
        <f>IFERROR(VLOOKUP(Level_Verification_Calculations[[#This Row],[Section]],SECTION_DATA[],MATCH(Level_Verification_Calculations[[#Headers],[Asphalt Thickness]],SECTION_DATA[#Headers],0),0),"")</f>
        <v/>
      </c>
      <c r="L44"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4" s="16" t="str">
        <f>IFERROR(VLOOKUP(Level_Verification_Calculations[[#This Row],[Axis]],AXIS_DATA[],MATCH(Level_Verification_Calculations[[#Headers],[Axis Type]],AXIS_DATA[#Headers],0),FALSE),"")</f>
        <v/>
      </c>
      <c r="N44" s="16" t="str">
        <f>IFERROR(IF(Level_Verification_Calculations[[#This Row],[Axis Type]]="Fixed axis",0,VLOOKUP(Level_Verification_Calculations[[#This Row],[Section]],SECTION_DATA[],MATCH(Level_Verification_Calculations[[#Headers],[Bearing Height]],SECTION_DATA[#Headers],0),FALSE)),"")</f>
        <v/>
      </c>
      <c r="O44" s="16" t="str">
        <f>IFERROR(VLOOKUP(Level_Verification_Calculations[[#This Row],[Axis]],AXIS_DATA[],MATCH(Level_Verification_Calculations[[#Headers],[Foundation Level]],AXIS_DATA[#Headers],0),FALSE),"")</f>
        <v/>
      </c>
      <c r="P44" s="16" t="str">
        <f>IFERROR(VLOOKUP(Level_Verification_Calculations[[#This Row],[Axis]],AXIS_DATA[],MATCH(Level_Verification_Calculations[[#Headers],[Foundation Depth]],AXIS_DATA[#Headers],0),FALSE),"")</f>
        <v/>
      </c>
      <c r="Q44" s="16" t="str">
        <f>IFERROR(Level_Verification_Calculations[[#This Row],[Foundation Level]]+Level_Verification_Calculations[[#This Row],[Foundation Depth]],"")</f>
        <v/>
      </c>
      <c r="R44" s="21" t="str">
        <f>IFERROR(VLOOKUP(Level_Verification_Calculations[[#This Row],[Axis]],AXIS_DATA[],MATCH(Level_Verification_Calculations[[#Headers],[Pier Height (IFC DWG)]],AXIS_DATA[#Headers],0),FALSE),"")</f>
        <v/>
      </c>
      <c r="S44" s="16" t="str">
        <f>IFERROR(VLOOKUP(Level_Verification_Calculations[[#This Row],[Section]],SECTION_DATA[],MATCH(Level_Verification_Calculations[[#Headers],[Superstructure Depth]],SECTION_DATA[#Headers],0),FALSE),"")</f>
        <v/>
      </c>
      <c r="T44" s="16" t="str">
        <f>IFERROR(Level_Verification_Calculations[[#This Row],[Structure Elevation]]-Level_Verification_Calculations[[#This Row],[Superstructure Depth]]-Level_Verification_Calculations[[#This Row],[Bearing Height]],"")</f>
        <v/>
      </c>
      <c r="U44" s="21" t="str">
        <f>IFERROR(Level_Verification_Calculations[[#This Row],[Pier Elevation]]-Level_Verification_Calculations[[#This Row],[Top of Foundation Concrete]],"")</f>
        <v/>
      </c>
      <c r="V44" s="21" t="str">
        <f>IFERROR(Level_Verification_Calculations[[#This Row],[Pier Height (IFC DWG)]]-Level_Verification_Calculations[[#This Row],[Pier Height (Calculated)]],"")</f>
        <v/>
      </c>
      <c r="W44" s="83" t="str">
        <f>IF(Level_Verification_Calculations[[#This Row],[Axis]]="","",IFERROR(VLOOKUP(Level_Verification_Calculations[[#This Row],[Axis]],COORDINATE_DATA[],MATCH(Level_Verification_Calculations[[#Headers],[Axis Center
X Coordinate]],COORDINATE_DATA[#Headers],0),FALSE),""))</f>
        <v/>
      </c>
      <c r="X44" s="83" t="str">
        <f>IF(Level_Verification_Calculations[[#This Row],[Axis]]="","",IFERROR(VLOOKUP(Level_Verification_Calculations[[#This Row],[Axis]],COORDINATE_DATA[],MATCH(Level_Verification_Calculations[[#Headers],[Axis Center
Y Coordinate]],COORDINATE_DATA[#Headers],0),FALSE),""))</f>
        <v/>
      </c>
      <c r="Y44" s="83" t="str">
        <f>IF(Level_Verification_Calculations[[#This Row],[Axis]]="","",IFERROR(VLOOKUP(Level_Verification_Calculations[[#This Row],[Axis]],COORDINATE_DATA[],MATCH(Level_Verification_Calculations[[#Headers],[θ]],COORDINATE_DATA[#Headers],0),FALSE),""))</f>
        <v/>
      </c>
    </row>
    <row r="45" spans="2:25" s="1" customFormat="1" ht="12" x14ac:dyDescent="0.2">
      <c r="B45" s="18">
        <f>COUNT($B$7:B44)+1</f>
        <v>38</v>
      </c>
      <c r="C45" s="25" t="str" cm="1">
        <f t="array" ref="C45">IF(INDEX(AXIS_DATA[Axis], B45)=0,"",INDEX(AXIS_DATA[Axis], B45))</f>
        <v/>
      </c>
      <c r="D45" s="22" t="str">
        <f>IFERROR(VLOOKUP(Level_Verification_Calculations[[#This Row],[Axis]],AXIS_DATA[],MATCH(Level_Verification_Calculations[[#Headers],[Station]],AXIS_DATA[#Headers],0),FALSE),"")</f>
        <v/>
      </c>
      <c r="E45" s="22" t="str" cm="1">
        <f t="array" ref="E4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5" s="23" t="str" cm="1">
        <f t="array" ref="F4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5" s="24" t="str">
        <f>IFERROR(VLOOKUP(Level_Verification_Calculations[[#This Row],[Segment Number]],PROFILE_DATA[],MATCH(Level_Verification_Calculations[[#Headers],[Segment Type]],PROFILE_DATA[#Headers],0),FALSE),"")</f>
        <v/>
      </c>
      <c r="H45" s="16" t="str">
        <f>IFERROR(VLOOKUP(Level_Verification_Calculations[[#This Row],[Axis]],AXIS_DATA[],MATCH(Level_Verification_Calculations[[#Headers],[Section]],AXIS_DATA[#Headers],0),FALSE),"")</f>
        <v/>
      </c>
      <c r="I45" s="16" t="str">
        <f>IFERROR(VLOOKUP(Level_Verification_Calculations[[#This Row],[Section]],SECTION_DATA[],MATCH(Level_Verification_Calculations[[#Headers],[Alignment-Structure Axis Offset]],SECTION_DATA[#Headers],0),0),"")</f>
        <v/>
      </c>
      <c r="J45" s="16" t="str">
        <f>IFERROR(VLOOKUP(Level_Verification_Calculations[[#This Row],[Section]],SECTION_DATA[],MATCH(Level_Verification_Calculations[[#Headers],[Superelevation (e%)]],SECTION_DATA[#Headers],0),0),"")</f>
        <v/>
      </c>
      <c r="K45" s="16" t="str">
        <f>IFERROR(VLOOKUP(Level_Verification_Calculations[[#This Row],[Section]],SECTION_DATA[],MATCH(Level_Verification_Calculations[[#Headers],[Asphalt Thickness]],SECTION_DATA[#Headers],0),0),"")</f>
        <v/>
      </c>
      <c r="L4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5" s="16" t="str">
        <f>IFERROR(VLOOKUP(Level_Verification_Calculations[[#This Row],[Axis]],AXIS_DATA[],MATCH(Level_Verification_Calculations[[#Headers],[Axis Type]],AXIS_DATA[#Headers],0),FALSE),"")</f>
        <v/>
      </c>
      <c r="N45" s="16" t="str">
        <f>IFERROR(IF(Level_Verification_Calculations[[#This Row],[Axis Type]]="Fixed axis",0,VLOOKUP(Level_Verification_Calculations[[#This Row],[Section]],SECTION_DATA[],MATCH(Level_Verification_Calculations[[#Headers],[Bearing Height]],SECTION_DATA[#Headers],0),FALSE)),"")</f>
        <v/>
      </c>
      <c r="O45" s="16" t="str">
        <f>IFERROR(VLOOKUP(Level_Verification_Calculations[[#This Row],[Axis]],AXIS_DATA[],MATCH(Level_Verification_Calculations[[#Headers],[Foundation Level]],AXIS_DATA[#Headers],0),FALSE),"")</f>
        <v/>
      </c>
      <c r="P45" s="16" t="str">
        <f>IFERROR(VLOOKUP(Level_Verification_Calculations[[#This Row],[Axis]],AXIS_DATA[],MATCH(Level_Verification_Calculations[[#Headers],[Foundation Depth]],AXIS_DATA[#Headers],0),FALSE),"")</f>
        <v/>
      </c>
      <c r="Q45" s="16" t="str">
        <f>IFERROR(Level_Verification_Calculations[[#This Row],[Foundation Level]]+Level_Verification_Calculations[[#This Row],[Foundation Depth]],"")</f>
        <v/>
      </c>
      <c r="R45" s="21" t="str">
        <f>IFERROR(VLOOKUP(Level_Verification_Calculations[[#This Row],[Axis]],AXIS_DATA[],MATCH(Level_Verification_Calculations[[#Headers],[Pier Height (IFC DWG)]],AXIS_DATA[#Headers],0),FALSE),"")</f>
        <v/>
      </c>
      <c r="S45" s="16" t="str">
        <f>IFERROR(VLOOKUP(Level_Verification_Calculations[[#This Row],[Section]],SECTION_DATA[],MATCH(Level_Verification_Calculations[[#Headers],[Superstructure Depth]],SECTION_DATA[#Headers],0),FALSE),"")</f>
        <v/>
      </c>
      <c r="T45" s="16" t="str">
        <f>IFERROR(Level_Verification_Calculations[[#This Row],[Structure Elevation]]-Level_Verification_Calculations[[#This Row],[Superstructure Depth]]-Level_Verification_Calculations[[#This Row],[Bearing Height]],"")</f>
        <v/>
      </c>
      <c r="U45" s="21" t="str">
        <f>IFERROR(Level_Verification_Calculations[[#This Row],[Pier Elevation]]-Level_Verification_Calculations[[#This Row],[Top of Foundation Concrete]],"")</f>
        <v/>
      </c>
      <c r="V45" s="21" t="str">
        <f>IFERROR(Level_Verification_Calculations[[#This Row],[Pier Height (IFC DWG)]]-Level_Verification_Calculations[[#This Row],[Pier Height (Calculated)]],"")</f>
        <v/>
      </c>
      <c r="W45" s="83" t="str">
        <f>IF(Level_Verification_Calculations[[#This Row],[Axis]]="","",IFERROR(VLOOKUP(Level_Verification_Calculations[[#This Row],[Axis]],COORDINATE_DATA[],MATCH(Level_Verification_Calculations[[#Headers],[Axis Center
X Coordinate]],COORDINATE_DATA[#Headers],0),FALSE),""))</f>
        <v/>
      </c>
      <c r="X45" s="83" t="str">
        <f>IF(Level_Verification_Calculations[[#This Row],[Axis]]="","",IFERROR(VLOOKUP(Level_Verification_Calculations[[#This Row],[Axis]],COORDINATE_DATA[],MATCH(Level_Verification_Calculations[[#Headers],[Axis Center
Y Coordinate]],COORDINATE_DATA[#Headers],0),FALSE),""))</f>
        <v/>
      </c>
      <c r="Y45" s="83" t="str">
        <f>IF(Level_Verification_Calculations[[#This Row],[Axis]]="","",IFERROR(VLOOKUP(Level_Verification_Calculations[[#This Row],[Axis]],COORDINATE_DATA[],MATCH(Level_Verification_Calculations[[#Headers],[θ]],COORDINATE_DATA[#Headers],0),FALSE),""))</f>
        <v/>
      </c>
    </row>
    <row r="46" spans="2:25" s="1" customFormat="1" ht="12" x14ac:dyDescent="0.2">
      <c r="B46" s="18">
        <f>COUNT($B$7:B45)+1</f>
        <v>39</v>
      </c>
      <c r="C46" s="25" t="str" cm="1">
        <f t="array" ref="C46">IF(INDEX(AXIS_DATA[Axis], B46)=0,"",INDEX(AXIS_DATA[Axis], B46))</f>
        <v/>
      </c>
      <c r="D46" s="22" t="str">
        <f>IFERROR(VLOOKUP(Level_Verification_Calculations[[#This Row],[Axis]],AXIS_DATA[],MATCH(Level_Verification_Calculations[[#Headers],[Station]],AXIS_DATA[#Headers],0),FALSE),"")</f>
        <v/>
      </c>
      <c r="E46" s="22" t="str" cm="1">
        <f t="array" ref="E4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6" s="23" t="str" cm="1">
        <f t="array" ref="F4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6" s="24" t="str">
        <f>IFERROR(VLOOKUP(Level_Verification_Calculations[[#This Row],[Segment Number]],PROFILE_DATA[],MATCH(Level_Verification_Calculations[[#Headers],[Segment Type]],PROFILE_DATA[#Headers],0),FALSE),"")</f>
        <v/>
      </c>
      <c r="H46" s="16" t="str">
        <f>IFERROR(VLOOKUP(Level_Verification_Calculations[[#This Row],[Axis]],AXIS_DATA[],MATCH(Level_Verification_Calculations[[#Headers],[Section]],AXIS_DATA[#Headers],0),FALSE),"")</f>
        <v/>
      </c>
      <c r="I46" s="16" t="str">
        <f>IFERROR(VLOOKUP(Level_Verification_Calculations[[#This Row],[Section]],SECTION_DATA[],MATCH(Level_Verification_Calculations[[#Headers],[Alignment-Structure Axis Offset]],SECTION_DATA[#Headers],0),0),"")</f>
        <v/>
      </c>
      <c r="J46" s="16" t="str">
        <f>IFERROR(VLOOKUP(Level_Verification_Calculations[[#This Row],[Section]],SECTION_DATA[],MATCH(Level_Verification_Calculations[[#Headers],[Superelevation (e%)]],SECTION_DATA[#Headers],0),0),"")</f>
        <v/>
      </c>
      <c r="K46" s="16" t="str">
        <f>IFERROR(VLOOKUP(Level_Verification_Calculations[[#This Row],[Section]],SECTION_DATA[],MATCH(Level_Verification_Calculations[[#Headers],[Asphalt Thickness]],SECTION_DATA[#Headers],0),0),"")</f>
        <v/>
      </c>
      <c r="L4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6" s="16" t="str">
        <f>IFERROR(VLOOKUP(Level_Verification_Calculations[[#This Row],[Axis]],AXIS_DATA[],MATCH(Level_Verification_Calculations[[#Headers],[Axis Type]],AXIS_DATA[#Headers],0),FALSE),"")</f>
        <v/>
      </c>
      <c r="N46" s="16" t="str">
        <f>IFERROR(IF(Level_Verification_Calculations[[#This Row],[Axis Type]]="Fixed axis",0,VLOOKUP(Level_Verification_Calculations[[#This Row],[Section]],SECTION_DATA[],MATCH(Level_Verification_Calculations[[#Headers],[Bearing Height]],SECTION_DATA[#Headers],0),FALSE)),"")</f>
        <v/>
      </c>
      <c r="O46" s="16" t="str">
        <f>IFERROR(VLOOKUP(Level_Verification_Calculations[[#This Row],[Axis]],AXIS_DATA[],MATCH(Level_Verification_Calculations[[#Headers],[Foundation Level]],AXIS_DATA[#Headers],0),FALSE),"")</f>
        <v/>
      </c>
      <c r="P46" s="16" t="str">
        <f>IFERROR(VLOOKUP(Level_Verification_Calculations[[#This Row],[Axis]],AXIS_DATA[],MATCH(Level_Verification_Calculations[[#Headers],[Foundation Depth]],AXIS_DATA[#Headers],0),FALSE),"")</f>
        <v/>
      </c>
      <c r="Q46" s="16" t="str">
        <f>IFERROR(Level_Verification_Calculations[[#This Row],[Foundation Level]]+Level_Verification_Calculations[[#This Row],[Foundation Depth]],"")</f>
        <v/>
      </c>
      <c r="R46" s="21" t="str">
        <f>IFERROR(VLOOKUP(Level_Verification_Calculations[[#This Row],[Axis]],AXIS_DATA[],MATCH(Level_Verification_Calculations[[#Headers],[Pier Height (IFC DWG)]],AXIS_DATA[#Headers],0),FALSE),"")</f>
        <v/>
      </c>
      <c r="S46" s="16" t="str">
        <f>IFERROR(VLOOKUP(Level_Verification_Calculations[[#This Row],[Section]],SECTION_DATA[],MATCH(Level_Verification_Calculations[[#Headers],[Superstructure Depth]],SECTION_DATA[#Headers],0),FALSE),"")</f>
        <v/>
      </c>
      <c r="T46" s="16" t="str">
        <f>IFERROR(Level_Verification_Calculations[[#This Row],[Structure Elevation]]-Level_Verification_Calculations[[#This Row],[Superstructure Depth]]-Level_Verification_Calculations[[#This Row],[Bearing Height]],"")</f>
        <v/>
      </c>
      <c r="U46" s="21" t="str">
        <f>IFERROR(Level_Verification_Calculations[[#This Row],[Pier Elevation]]-Level_Verification_Calculations[[#This Row],[Top of Foundation Concrete]],"")</f>
        <v/>
      </c>
      <c r="V46" s="21" t="str">
        <f>IFERROR(Level_Verification_Calculations[[#This Row],[Pier Height (IFC DWG)]]-Level_Verification_Calculations[[#This Row],[Pier Height (Calculated)]],"")</f>
        <v/>
      </c>
      <c r="W46" s="83" t="str">
        <f>IF(Level_Verification_Calculations[[#This Row],[Axis]]="","",IFERROR(VLOOKUP(Level_Verification_Calculations[[#This Row],[Axis]],COORDINATE_DATA[],MATCH(Level_Verification_Calculations[[#Headers],[Axis Center
X Coordinate]],COORDINATE_DATA[#Headers],0),FALSE),""))</f>
        <v/>
      </c>
      <c r="X46" s="83" t="str">
        <f>IF(Level_Verification_Calculations[[#This Row],[Axis]]="","",IFERROR(VLOOKUP(Level_Verification_Calculations[[#This Row],[Axis]],COORDINATE_DATA[],MATCH(Level_Verification_Calculations[[#Headers],[Axis Center
Y Coordinate]],COORDINATE_DATA[#Headers],0),FALSE),""))</f>
        <v/>
      </c>
      <c r="Y46" s="83" t="str">
        <f>IF(Level_Verification_Calculations[[#This Row],[Axis]]="","",IFERROR(VLOOKUP(Level_Verification_Calculations[[#This Row],[Axis]],COORDINATE_DATA[],MATCH(Level_Verification_Calculations[[#Headers],[θ]],COORDINATE_DATA[#Headers],0),FALSE),""))</f>
        <v/>
      </c>
    </row>
    <row r="47" spans="2:25" s="1" customFormat="1" ht="12" x14ac:dyDescent="0.2">
      <c r="B47" s="18">
        <f>COUNT($B$7:B46)+1</f>
        <v>40</v>
      </c>
      <c r="C47" s="25" t="str" cm="1">
        <f t="array" ref="C47">IF(INDEX(AXIS_DATA[Axis], B47)=0,"",INDEX(AXIS_DATA[Axis], B47))</f>
        <v/>
      </c>
      <c r="D47" s="22" t="str">
        <f>IFERROR(VLOOKUP(Level_Verification_Calculations[[#This Row],[Axis]],AXIS_DATA[],MATCH(Level_Verification_Calculations[[#Headers],[Station]],AXIS_DATA[#Headers],0),FALSE),"")</f>
        <v/>
      </c>
      <c r="E47" s="22" t="str" cm="1">
        <f t="array" ref="E4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7" s="23" t="str" cm="1">
        <f t="array" ref="F4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7" s="24" t="str">
        <f>IFERROR(VLOOKUP(Level_Verification_Calculations[[#This Row],[Segment Number]],PROFILE_DATA[],MATCH(Level_Verification_Calculations[[#Headers],[Segment Type]],PROFILE_DATA[#Headers],0),FALSE),"")</f>
        <v/>
      </c>
      <c r="H47" s="16" t="str">
        <f>IFERROR(VLOOKUP(Level_Verification_Calculations[[#This Row],[Axis]],AXIS_DATA[],MATCH(Level_Verification_Calculations[[#Headers],[Section]],AXIS_DATA[#Headers],0),FALSE),"")</f>
        <v/>
      </c>
      <c r="I47" s="16" t="str">
        <f>IFERROR(VLOOKUP(Level_Verification_Calculations[[#This Row],[Section]],SECTION_DATA[],MATCH(Level_Verification_Calculations[[#Headers],[Alignment-Structure Axis Offset]],SECTION_DATA[#Headers],0),0),"")</f>
        <v/>
      </c>
      <c r="J47" s="16" t="str">
        <f>IFERROR(VLOOKUP(Level_Verification_Calculations[[#This Row],[Section]],SECTION_DATA[],MATCH(Level_Verification_Calculations[[#Headers],[Superelevation (e%)]],SECTION_DATA[#Headers],0),0),"")</f>
        <v/>
      </c>
      <c r="K47" s="16" t="str">
        <f>IFERROR(VLOOKUP(Level_Verification_Calculations[[#This Row],[Section]],SECTION_DATA[],MATCH(Level_Verification_Calculations[[#Headers],[Asphalt Thickness]],SECTION_DATA[#Headers],0),0),"")</f>
        <v/>
      </c>
      <c r="L4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7" s="16" t="str">
        <f>IFERROR(VLOOKUP(Level_Verification_Calculations[[#This Row],[Axis]],AXIS_DATA[],MATCH(Level_Verification_Calculations[[#Headers],[Axis Type]],AXIS_DATA[#Headers],0),FALSE),"")</f>
        <v/>
      </c>
      <c r="N47" s="16" t="str">
        <f>IFERROR(IF(Level_Verification_Calculations[[#This Row],[Axis Type]]="Fixed axis",0,VLOOKUP(Level_Verification_Calculations[[#This Row],[Section]],SECTION_DATA[],MATCH(Level_Verification_Calculations[[#Headers],[Bearing Height]],SECTION_DATA[#Headers],0),FALSE)),"")</f>
        <v/>
      </c>
      <c r="O47" s="16" t="str">
        <f>IFERROR(VLOOKUP(Level_Verification_Calculations[[#This Row],[Axis]],AXIS_DATA[],MATCH(Level_Verification_Calculations[[#Headers],[Foundation Level]],AXIS_DATA[#Headers],0),FALSE),"")</f>
        <v/>
      </c>
      <c r="P47" s="16" t="str">
        <f>IFERROR(VLOOKUP(Level_Verification_Calculations[[#This Row],[Axis]],AXIS_DATA[],MATCH(Level_Verification_Calculations[[#Headers],[Foundation Depth]],AXIS_DATA[#Headers],0),FALSE),"")</f>
        <v/>
      </c>
      <c r="Q47" s="16" t="str">
        <f>IFERROR(Level_Verification_Calculations[[#This Row],[Foundation Level]]+Level_Verification_Calculations[[#This Row],[Foundation Depth]],"")</f>
        <v/>
      </c>
      <c r="R47" s="21" t="str">
        <f>IFERROR(VLOOKUP(Level_Verification_Calculations[[#This Row],[Axis]],AXIS_DATA[],MATCH(Level_Verification_Calculations[[#Headers],[Pier Height (IFC DWG)]],AXIS_DATA[#Headers],0),FALSE),"")</f>
        <v/>
      </c>
      <c r="S47" s="16" t="str">
        <f>IFERROR(VLOOKUP(Level_Verification_Calculations[[#This Row],[Section]],SECTION_DATA[],MATCH(Level_Verification_Calculations[[#Headers],[Superstructure Depth]],SECTION_DATA[#Headers],0),FALSE),"")</f>
        <v/>
      </c>
      <c r="T47" s="16" t="str">
        <f>IFERROR(Level_Verification_Calculations[[#This Row],[Structure Elevation]]-Level_Verification_Calculations[[#This Row],[Superstructure Depth]]-Level_Verification_Calculations[[#This Row],[Bearing Height]],"")</f>
        <v/>
      </c>
      <c r="U47" s="21" t="str">
        <f>IFERROR(Level_Verification_Calculations[[#This Row],[Pier Elevation]]-Level_Verification_Calculations[[#This Row],[Top of Foundation Concrete]],"")</f>
        <v/>
      </c>
      <c r="V47" s="21" t="str">
        <f>IFERROR(Level_Verification_Calculations[[#This Row],[Pier Height (IFC DWG)]]-Level_Verification_Calculations[[#This Row],[Pier Height (Calculated)]],"")</f>
        <v/>
      </c>
      <c r="W47" s="83" t="str">
        <f>IF(Level_Verification_Calculations[[#This Row],[Axis]]="","",IFERROR(VLOOKUP(Level_Verification_Calculations[[#This Row],[Axis]],COORDINATE_DATA[],MATCH(Level_Verification_Calculations[[#Headers],[Axis Center
X Coordinate]],COORDINATE_DATA[#Headers],0),FALSE),""))</f>
        <v/>
      </c>
      <c r="X47" s="83" t="str">
        <f>IF(Level_Verification_Calculations[[#This Row],[Axis]]="","",IFERROR(VLOOKUP(Level_Verification_Calculations[[#This Row],[Axis]],COORDINATE_DATA[],MATCH(Level_Verification_Calculations[[#Headers],[Axis Center
Y Coordinate]],COORDINATE_DATA[#Headers],0),FALSE),""))</f>
        <v/>
      </c>
      <c r="Y47" s="83" t="str">
        <f>IF(Level_Verification_Calculations[[#This Row],[Axis]]="","",IFERROR(VLOOKUP(Level_Verification_Calculations[[#This Row],[Axis]],COORDINATE_DATA[],MATCH(Level_Verification_Calculations[[#Headers],[θ]],COORDINATE_DATA[#Headers],0),FALSE),""))</f>
        <v/>
      </c>
    </row>
    <row r="48" spans="2:25" s="1" customFormat="1" ht="12" x14ac:dyDescent="0.2">
      <c r="B48" s="18">
        <f>COUNT($B$7:B47)+1</f>
        <v>41</v>
      </c>
      <c r="C48" s="25" t="str" cm="1">
        <f t="array" ref="C48">IF(INDEX(AXIS_DATA[Axis], B48)=0,"",INDEX(AXIS_DATA[Axis], B48))</f>
        <v/>
      </c>
      <c r="D48" s="22" t="str">
        <f>IFERROR(VLOOKUP(Level_Verification_Calculations[[#This Row],[Axis]],AXIS_DATA[],MATCH(Level_Verification_Calculations[[#Headers],[Station]],AXIS_DATA[#Headers],0),FALSE),"")</f>
        <v/>
      </c>
      <c r="E48" s="22" t="str" cm="1">
        <f t="array" ref="E4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8" s="23" t="str" cm="1">
        <f t="array" ref="F4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8" s="24" t="str">
        <f>IFERROR(VLOOKUP(Level_Verification_Calculations[[#This Row],[Segment Number]],PROFILE_DATA[],MATCH(Level_Verification_Calculations[[#Headers],[Segment Type]],PROFILE_DATA[#Headers],0),FALSE),"")</f>
        <v/>
      </c>
      <c r="H48" s="16" t="str">
        <f>IFERROR(VLOOKUP(Level_Verification_Calculations[[#This Row],[Axis]],AXIS_DATA[],MATCH(Level_Verification_Calculations[[#Headers],[Section]],AXIS_DATA[#Headers],0),FALSE),"")</f>
        <v/>
      </c>
      <c r="I48" s="16" t="str">
        <f>IFERROR(VLOOKUP(Level_Verification_Calculations[[#This Row],[Section]],SECTION_DATA[],MATCH(Level_Verification_Calculations[[#Headers],[Alignment-Structure Axis Offset]],SECTION_DATA[#Headers],0),0),"")</f>
        <v/>
      </c>
      <c r="J48" s="16" t="str">
        <f>IFERROR(VLOOKUP(Level_Verification_Calculations[[#This Row],[Section]],SECTION_DATA[],MATCH(Level_Verification_Calculations[[#Headers],[Superelevation (e%)]],SECTION_DATA[#Headers],0),0),"")</f>
        <v/>
      </c>
      <c r="K48" s="16" t="str">
        <f>IFERROR(VLOOKUP(Level_Verification_Calculations[[#This Row],[Section]],SECTION_DATA[],MATCH(Level_Verification_Calculations[[#Headers],[Asphalt Thickness]],SECTION_DATA[#Headers],0),0),"")</f>
        <v/>
      </c>
      <c r="L48"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8" s="16" t="str">
        <f>IFERROR(VLOOKUP(Level_Verification_Calculations[[#This Row],[Axis]],AXIS_DATA[],MATCH(Level_Verification_Calculations[[#Headers],[Axis Type]],AXIS_DATA[#Headers],0),FALSE),"")</f>
        <v/>
      </c>
      <c r="N48" s="16" t="str">
        <f>IFERROR(IF(Level_Verification_Calculations[[#This Row],[Axis Type]]="Fixed axis",0,VLOOKUP(Level_Verification_Calculations[[#This Row],[Section]],SECTION_DATA[],MATCH(Level_Verification_Calculations[[#Headers],[Bearing Height]],SECTION_DATA[#Headers],0),FALSE)),"")</f>
        <v/>
      </c>
      <c r="O48" s="16" t="str">
        <f>IFERROR(VLOOKUP(Level_Verification_Calculations[[#This Row],[Axis]],AXIS_DATA[],MATCH(Level_Verification_Calculations[[#Headers],[Foundation Level]],AXIS_DATA[#Headers],0),FALSE),"")</f>
        <v/>
      </c>
      <c r="P48" s="16" t="str">
        <f>IFERROR(VLOOKUP(Level_Verification_Calculations[[#This Row],[Axis]],AXIS_DATA[],MATCH(Level_Verification_Calculations[[#Headers],[Foundation Depth]],AXIS_DATA[#Headers],0),FALSE),"")</f>
        <v/>
      </c>
      <c r="Q48" s="16" t="str">
        <f>IFERROR(Level_Verification_Calculations[[#This Row],[Foundation Level]]+Level_Verification_Calculations[[#This Row],[Foundation Depth]],"")</f>
        <v/>
      </c>
      <c r="R48" s="21" t="str">
        <f>IFERROR(VLOOKUP(Level_Verification_Calculations[[#This Row],[Axis]],AXIS_DATA[],MATCH(Level_Verification_Calculations[[#Headers],[Pier Height (IFC DWG)]],AXIS_DATA[#Headers],0),FALSE),"")</f>
        <v/>
      </c>
      <c r="S48" s="16" t="str">
        <f>IFERROR(VLOOKUP(Level_Verification_Calculations[[#This Row],[Section]],SECTION_DATA[],MATCH(Level_Verification_Calculations[[#Headers],[Superstructure Depth]],SECTION_DATA[#Headers],0),FALSE),"")</f>
        <v/>
      </c>
      <c r="T48" s="16" t="str">
        <f>IFERROR(Level_Verification_Calculations[[#This Row],[Structure Elevation]]-Level_Verification_Calculations[[#This Row],[Superstructure Depth]]-Level_Verification_Calculations[[#This Row],[Bearing Height]],"")</f>
        <v/>
      </c>
      <c r="U48" s="21" t="str">
        <f>IFERROR(Level_Verification_Calculations[[#This Row],[Pier Elevation]]-Level_Verification_Calculations[[#This Row],[Top of Foundation Concrete]],"")</f>
        <v/>
      </c>
      <c r="V48" s="21" t="str">
        <f>IFERROR(Level_Verification_Calculations[[#This Row],[Pier Height (IFC DWG)]]-Level_Verification_Calculations[[#This Row],[Pier Height (Calculated)]],"")</f>
        <v/>
      </c>
      <c r="W48" s="83" t="str">
        <f>IF(Level_Verification_Calculations[[#This Row],[Axis]]="","",IFERROR(VLOOKUP(Level_Verification_Calculations[[#This Row],[Axis]],COORDINATE_DATA[],MATCH(Level_Verification_Calculations[[#Headers],[Axis Center
X Coordinate]],COORDINATE_DATA[#Headers],0),FALSE),""))</f>
        <v/>
      </c>
      <c r="X48" s="83" t="str">
        <f>IF(Level_Verification_Calculations[[#This Row],[Axis]]="","",IFERROR(VLOOKUP(Level_Verification_Calculations[[#This Row],[Axis]],COORDINATE_DATA[],MATCH(Level_Verification_Calculations[[#Headers],[Axis Center
Y Coordinate]],COORDINATE_DATA[#Headers],0),FALSE),""))</f>
        <v/>
      </c>
      <c r="Y48" s="83" t="str">
        <f>IF(Level_Verification_Calculations[[#This Row],[Axis]]="","",IFERROR(VLOOKUP(Level_Verification_Calculations[[#This Row],[Axis]],COORDINATE_DATA[],MATCH(Level_Verification_Calculations[[#Headers],[θ]],COORDINATE_DATA[#Headers],0),FALSE),""))</f>
        <v/>
      </c>
    </row>
    <row r="49" spans="2:25" s="1" customFormat="1" ht="12" x14ac:dyDescent="0.2">
      <c r="B49" s="18">
        <f>COUNT($B$7:B48)+1</f>
        <v>42</v>
      </c>
      <c r="C49" s="25" t="str" cm="1">
        <f t="array" ref="C49">IF(INDEX(AXIS_DATA[Axis], B49)=0,"",INDEX(AXIS_DATA[Axis], B49))</f>
        <v/>
      </c>
      <c r="D49" s="22" t="str">
        <f>IFERROR(VLOOKUP(Level_Verification_Calculations[[#This Row],[Axis]],AXIS_DATA[],MATCH(Level_Verification_Calculations[[#Headers],[Station]],AXIS_DATA[#Headers],0),FALSE),"")</f>
        <v/>
      </c>
      <c r="E49" s="22" t="str" cm="1">
        <f t="array" ref="E4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9" s="23" t="str" cm="1">
        <f t="array" ref="F4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9" s="24" t="str">
        <f>IFERROR(VLOOKUP(Level_Verification_Calculations[[#This Row],[Segment Number]],PROFILE_DATA[],MATCH(Level_Verification_Calculations[[#Headers],[Segment Type]],PROFILE_DATA[#Headers],0),FALSE),"")</f>
        <v/>
      </c>
      <c r="H49" s="16" t="str">
        <f>IFERROR(VLOOKUP(Level_Verification_Calculations[[#This Row],[Axis]],AXIS_DATA[],MATCH(Level_Verification_Calculations[[#Headers],[Section]],AXIS_DATA[#Headers],0),FALSE),"")</f>
        <v/>
      </c>
      <c r="I49" s="16" t="str">
        <f>IFERROR(VLOOKUP(Level_Verification_Calculations[[#This Row],[Section]],SECTION_DATA[],MATCH(Level_Verification_Calculations[[#Headers],[Alignment-Structure Axis Offset]],SECTION_DATA[#Headers],0),0),"")</f>
        <v/>
      </c>
      <c r="J49" s="16" t="str">
        <f>IFERROR(VLOOKUP(Level_Verification_Calculations[[#This Row],[Section]],SECTION_DATA[],MATCH(Level_Verification_Calculations[[#Headers],[Superelevation (e%)]],SECTION_DATA[#Headers],0),0),"")</f>
        <v/>
      </c>
      <c r="K49" s="16" t="str">
        <f>IFERROR(VLOOKUP(Level_Verification_Calculations[[#This Row],[Section]],SECTION_DATA[],MATCH(Level_Verification_Calculations[[#Headers],[Asphalt Thickness]],SECTION_DATA[#Headers],0),0),"")</f>
        <v/>
      </c>
      <c r="L49"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9" s="16" t="str">
        <f>IFERROR(VLOOKUP(Level_Verification_Calculations[[#This Row],[Axis]],AXIS_DATA[],MATCH(Level_Verification_Calculations[[#Headers],[Axis Type]],AXIS_DATA[#Headers],0),FALSE),"")</f>
        <v/>
      </c>
      <c r="N49" s="16" t="str">
        <f>IFERROR(IF(Level_Verification_Calculations[[#This Row],[Axis Type]]="Fixed axis",0,VLOOKUP(Level_Verification_Calculations[[#This Row],[Section]],SECTION_DATA[],MATCH(Level_Verification_Calculations[[#Headers],[Bearing Height]],SECTION_DATA[#Headers],0),FALSE)),"")</f>
        <v/>
      </c>
      <c r="O49" s="16" t="str">
        <f>IFERROR(VLOOKUP(Level_Verification_Calculations[[#This Row],[Axis]],AXIS_DATA[],MATCH(Level_Verification_Calculations[[#Headers],[Foundation Level]],AXIS_DATA[#Headers],0),FALSE),"")</f>
        <v/>
      </c>
      <c r="P49" s="16" t="str">
        <f>IFERROR(VLOOKUP(Level_Verification_Calculations[[#This Row],[Axis]],AXIS_DATA[],MATCH(Level_Verification_Calculations[[#Headers],[Foundation Depth]],AXIS_DATA[#Headers],0),FALSE),"")</f>
        <v/>
      </c>
      <c r="Q49" s="16" t="str">
        <f>IFERROR(Level_Verification_Calculations[[#This Row],[Foundation Level]]+Level_Verification_Calculations[[#This Row],[Foundation Depth]],"")</f>
        <v/>
      </c>
      <c r="R49" s="21" t="str">
        <f>IFERROR(VLOOKUP(Level_Verification_Calculations[[#This Row],[Axis]],AXIS_DATA[],MATCH(Level_Verification_Calculations[[#Headers],[Pier Height (IFC DWG)]],AXIS_DATA[#Headers],0),FALSE),"")</f>
        <v/>
      </c>
      <c r="S49" s="16" t="str">
        <f>IFERROR(VLOOKUP(Level_Verification_Calculations[[#This Row],[Section]],SECTION_DATA[],MATCH(Level_Verification_Calculations[[#Headers],[Superstructure Depth]],SECTION_DATA[#Headers],0),FALSE),"")</f>
        <v/>
      </c>
      <c r="T49" s="16" t="str">
        <f>IFERROR(Level_Verification_Calculations[[#This Row],[Structure Elevation]]-Level_Verification_Calculations[[#This Row],[Superstructure Depth]]-Level_Verification_Calculations[[#This Row],[Bearing Height]],"")</f>
        <v/>
      </c>
      <c r="U49" s="21" t="str">
        <f>IFERROR(Level_Verification_Calculations[[#This Row],[Pier Elevation]]-Level_Verification_Calculations[[#This Row],[Top of Foundation Concrete]],"")</f>
        <v/>
      </c>
      <c r="V49" s="21" t="str">
        <f>IFERROR(Level_Verification_Calculations[[#This Row],[Pier Height (IFC DWG)]]-Level_Verification_Calculations[[#This Row],[Pier Height (Calculated)]],"")</f>
        <v/>
      </c>
      <c r="W49" s="83" t="str">
        <f>IF(Level_Verification_Calculations[[#This Row],[Axis]]="","",IFERROR(VLOOKUP(Level_Verification_Calculations[[#This Row],[Axis]],COORDINATE_DATA[],MATCH(Level_Verification_Calculations[[#Headers],[Axis Center
X Coordinate]],COORDINATE_DATA[#Headers],0),FALSE),""))</f>
        <v/>
      </c>
      <c r="X49" s="83" t="str">
        <f>IF(Level_Verification_Calculations[[#This Row],[Axis]]="","",IFERROR(VLOOKUP(Level_Verification_Calculations[[#This Row],[Axis]],COORDINATE_DATA[],MATCH(Level_Verification_Calculations[[#Headers],[Axis Center
Y Coordinate]],COORDINATE_DATA[#Headers],0),FALSE),""))</f>
        <v/>
      </c>
      <c r="Y49" s="83" t="str">
        <f>IF(Level_Verification_Calculations[[#This Row],[Axis]]="","",IFERROR(VLOOKUP(Level_Verification_Calculations[[#This Row],[Axis]],COORDINATE_DATA[],MATCH(Level_Verification_Calculations[[#Headers],[θ]],COORDINATE_DATA[#Headers],0),FALSE),""))</f>
        <v/>
      </c>
    </row>
    <row r="50" spans="2:25" x14ac:dyDescent="0.25">
      <c r="B50" s="18">
        <f>COUNT($B$7:B49)+1</f>
        <v>43</v>
      </c>
      <c r="C50" s="25" t="str" cm="1">
        <f t="array" ref="C50">IF(INDEX(AXIS_DATA[Axis], B50)=0,"",INDEX(AXIS_DATA[Axis], B50))</f>
        <v/>
      </c>
      <c r="D50" s="22" t="str">
        <f>IFERROR(VLOOKUP(Level_Verification_Calculations[[#This Row],[Axis]],AXIS_DATA[],MATCH(Level_Verification_Calculations[[#Headers],[Station]],AXIS_DATA[#Headers],0),FALSE),"")</f>
        <v/>
      </c>
      <c r="E50" s="22" t="str" cm="1">
        <f t="array" ref="E5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0" s="23" t="str" cm="1">
        <f t="array" ref="F5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0" s="24" t="str">
        <f>IFERROR(VLOOKUP(Level_Verification_Calculations[[#This Row],[Segment Number]],PROFILE_DATA[],MATCH(Level_Verification_Calculations[[#Headers],[Segment Type]],PROFILE_DATA[#Headers],0),FALSE),"")</f>
        <v/>
      </c>
      <c r="H50" s="16" t="str">
        <f>IFERROR(VLOOKUP(Level_Verification_Calculations[[#This Row],[Axis]],AXIS_DATA[],MATCH(Level_Verification_Calculations[[#Headers],[Section]],AXIS_DATA[#Headers],0),FALSE),"")</f>
        <v/>
      </c>
      <c r="I50" s="16" t="str">
        <f>IFERROR(VLOOKUP(Level_Verification_Calculations[[#This Row],[Section]],SECTION_DATA[],MATCH(Level_Verification_Calculations[[#Headers],[Alignment-Structure Axis Offset]],SECTION_DATA[#Headers],0),0),"")</f>
        <v/>
      </c>
      <c r="J50" s="16" t="str">
        <f>IFERROR(VLOOKUP(Level_Verification_Calculations[[#This Row],[Section]],SECTION_DATA[],MATCH(Level_Verification_Calculations[[#Headers],[Superelevation (e%)]],SECTION_DATA[#Headers],0),0),"")</f>
        <v/>
      </c>
      <c r="K50" s="16" t="str">
        <f>IFERROR(VLOOKUP(Level_Verification_Calculations[[#This Row],[Section]],SECTION_DATA[],MATCH(Level_Verification_Calculations[[#Headers],[Asphalt Thickness]],SECTION_DATA[#Headers],0),0),"")</f>
        <v/>
      </c>
      <c r="L50"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0" s="16" t="str">
        <f>IFERROR(VLOOKUP(Level_Verification_Calculations[[#This Row],[Axis]],AXIS_DATA[],MATCH(Level_Verification_Calculations[[#Headers],[Axis Type]],AXIS_DATA[#Headers],0),FALSE),"")</f>
        <v/>
      </c>
      <c r="N50" s="16" t="str">
        <f>IFERROR(IF(Level_Verification_Calculations[[#This Row],[Axis Type]]="Fixed axis",0,VLOOKUP(Level_Verification_Calculations[[#This Row],[Section]],SECTION_DATA[],MATCH(Level_Verification_Calculations[[#Headers],[Bearing Height]],SECTION_DATA[#Headers],0),FALSE)),"")</f>
        <v/>
      </c>
      <c r="O50" s="16" t="str">
        <f>IFERROR(VLOOKUP(Level_Verification_Calculations[[#This Row],[Axis]],AXIS_DATA[],MATCH(Level_Verification_Calculations[[#Headers],[Foundation Level]],AXIS_DATA[#Headers],0),FALSE),"")</f>
        <v/>
      </c>
      <c r="P50" s="16" t="str">
        <f>IFERROR(VLOOKUP(Level_Verification_Calculations[[#This Row],[Axis]],AXIS_DATA[],MATCH(Level_Verification_Calculations[[#Headers],[Foundation Depth]],AXIS_DATA[#Headers],0),FALSE),"")</f>
        <v/>
      </c>
      <c r="Q50" s="16" t="str">
        <f>IFERROR(Level_Verification_Calculations[[#This Row],[Foundation Level]]+Level_Verification_Calculations[[#This Row],[Foundation Depth]],"")</f>
        <v/>
      </c>
      <c r="R50" s="21" t="str">
        <f>IFERROR(VLOOKUP(Level_Verification_Calculations[[#This Row],[Axis]],AXIS_DATA[],MATCH(Level_Verification_Calculations[[#Headers],[Pier Height (IFC DWG)]],AXIS_DATA[#Headers],0),FALSE),"")</f>
        <v/>
      </c>
      <c r="S50" s="16" t="str">
        <f>IFERROR(VLOOKUP(Level_Verification_Calculations[[#This Row],[Section]],SECTION_DATA[],MATCH(Level_Verification_Calculations[[#Headers],[Superstructure Depth]],SECTION_DATA[#Headers],0),FALSE),"")</f>
        <v/>
      </c>
      <c r="T50" s="16" t="str">
        <f>IFERROR(Level_Verification_Calculations[[#This Row],[Structure Elevation]]-Level_Verification_Calculations[[#This Row],[Superstructure Depth]]-Level_Verification_Calculations[[#This Row],[Bearing Height]],"")</f>
        <v/>
      </c>
      <c r="U50" s="21" t="str">
        <f>IFERROR(Level_Verification_Calculations[[#This Row],[Pier Elevation]]-Level_Verification_Calculations[[#This Row],[Top of Foundation Concrete]],"")</f>
        <v/>
      </c>
      <c r="V50" s="21" t="str">
        <f>IFERROR(Level_Verification_Calculations[[#This Row],[Pier Height (IFC DWG)]]-Level_Verification_Calculations[[#This Row],[Pier Height (Calculated)]],"")</f>
        <v/>
      </c>
      <c r="W50" s="83" t="str">
        <f>IF(Level_Verification_Calculations[[#This Row],[Axis]]="","",IFERROR(VLOOKUP(Level_Verification_Calculations[[#This Row],[Axis]],COORDINATE_DATA[],MATCH(Level_Verification_Calculations[[#Headers],[Axis Center
X Coordinate]],COORDINATE_DATA[#Headers],0),FALSE),""))</f>
        <v/>
      </c>
      <c r="X50" s="83" t="str">
        <f>IF(Level_Verification_Calculations[[#This Row],[Axis]]="","",IFERROR(VLOOKUP(Level_Verification_Calculations[[#This Row],[Axis]],COORDINATE_DATA[],MATCH(Level_Verification_Calculations[[#Headers],[Axis Center
Y Coordinate]],COORDINATE_DATA[#Headers],0),FALSE),""))</f>
        <v/>
      </c>
      <c r="Y50" s="83" t="str">
        <f>IF(Level_Verification_Calculations[[#This Row],[Axis]]="","",IFERROR(VLOOKUP(Level_Verification_Calculations[[#This Row],[Axis]],COORDINATE_DATA[],MATCH(Level_Verification_Calculations[[#Headers],[θ]],COORDINATE_DATA[#Headers],0),FALSE),""))</f>
        <v/>
      </c>
    </row>
    <row r="51" spans="2:25" x14ac:dyDescent="0.25">
      <c r="B51" s="18">
        <f>COUNT($B$7:B50)+1</f>
        <v>44</v>
      </c>
      <c r="C51" s="25" t="str" cm="1">
        <f t="array" ref="C51">IF(INDEX(AXIS_DATA[Axis], B51)=0,"",INDEX(AXIS_DATA[Axis], B51))</f>
        <v/>
      </c>
      <c r="D51" s="22" t="str">
        <f>IFERROR(VLOOKUP(Level_Verification_Calculations[[#This Row],[Axis]],AXIS_DATA[],MATCH(Level_Verification_Calculations[[#Headers],[Station]],AXIS_DATA[#Headers],0),FALSE),"")</f>
        <v/>
      </c>
      <c r="E51" s="22" t="str" cm="1">
        <f t="array" ref="E5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1" s="23" t="str" cm="1">
        <f t="array" ref="F5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1" s="24" t="str">
        <f>IFERROR(VLOOKUP(Level_Verification_Calculations[[#This Row],[Segment Number]],PROFILE_DATA[],MATCH(Level_Verification_Calculations[[#Headers],[Segment Type]],PROFILE_DATA[#Headers],0),FALSE),"")</f>
        <v/>
      </c>
      <c r="H51" s="16" t="str">
        <f>IFERROR(VLOOKUP(Level_Verification_Calculations[[#This Row],[Axis]],AXIS_DATA[],MATCH(Level_Verification_Calculations[[#Headers],[Section]],AXIS_DATA[#Headers],0),FALSE),"")</f>
        <v/>
      </c>
      <c r="I51" s="16" t="str">
        <f>IFERROR(VLOOKUP(Level_Verification_Calculations[[#This Row],[Section]],SECTION_DATA[],MATCH(Level_Verification_Calculations[[#Headers],[Alignment-Structure Axis Offset]],SECTION_DATA[#Headers],0),0),"")</f>
        <v/>
      </c>
      <c r="J51" s="16" t="str">
        <f>IFERROR(VLOOKUP(Level_Verification_Calculations[[#This Row],[Section]],SECTION_DATA[],MATCH(Level_Verification_Calculations[[#Headers],[Superelevation (e%)]],SECTION_DATA[#Headers],0),0),"")</f>
        <v/>
      </c>
      <c r="K51" s="16" t="str">
        <f>IFERROR(VLOOKUP(Level_Verification_Calculations[[#This Row],[Section]],SECTION_DATA[],MATCH(Level_Verification_Calculations[[#Headers],[Asphalt Thickness]],SECTION_DATA[#Headers],0),0),"")</f>
        <v/>
      </c>
      <c r="L51"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1" s="16" t="str">
        <f>IFERROR(VLOOKUP(Level_Verification_Calculations[[#This Row],[Axis]],AXIS_DATA[],MATCH(Level_Verification_Calculations[[#Headers],[Axis Type]],AXIS_DATA[#Headers],0),FALSE),"")</f>
        <v/>
      </c>
      <c r="N51" s="16" t="str">
        <f>IFERROR(IF(Level_Verification_Calculations[[#This Row],[Axis Type]]="Fixed axis",0,VLOOKUP(Level_Verification_Calculations[[#This Row],[Section]],SECTION_DATA[],MATCH(Level_Verification_Calculations[[#Headers],[Bearing Height]],SECTION_DATA[#Headers],0),FALSE)),"")</f>
        <v/>
      </c>
      <c r="O51" s="16" t="str">
        <f>IFERROR(VLOOKUP(Level_Verification_Calculations[[#This Row],[Axis]],AXIS_DATA[],MATCH(Level_Verification_Calculations[[#Headers],[Foundation Level]],AXIS_DATA[#Headers],0),FALSE),"")</f>
        <v/>
      </c>
      <c r="P51" s="16" t="str">
        <f>IFERROR(VLOOKUP(Level_Verification_Calculations[[#This Row],[Axis]],AXIS_DATA[],MATCH(Level_Verification_Calculations[[#Headers],[Foundation Depth]],AXIS_DATA[#Headers],0),FALSE),"")</f>
        <v/>
      </c>
      <c r="Q51" s="16" t="str">
        <f>IFERROR(Level_Verification_Calculations[[#This Row],[Foundation Level]]+Level_Verification_Calculations[[#This Row],[Foundation Depth]],"")</f>
        <v/>
      </c>
      <c r="R51" s="21" t="str">
        <f>IFERROR(VLOOKUP(Level_Verification_Calculations[[#This Row],[Axis]],AXIS_DATA[],MATCH(Level_Verification_Calculations[[#Headers],[Pier Height (IFC DWG)]],AXIS_DATA[#Headers],0),FALSE),"")</f>
        <v/>
      </c>
      <c r="S51" s="16" t="str">
        <f>IFERROR(VLOOKUP(Level_Verification_Calculations[[#This Row],[Section]],SECTION_DATA[],MATCH(Level_Verification_Calculations[[#Headers],[Superstructure Depth]],SECTION_DATA[#Headers],0),FALSE),"")</f>
        <v/>
      </c>
      <c r="T51" s="16" t="str">
        <f>IFERROR(Level_Verification_Calculations[[#This Row],[Structure Elevation]]-Level_Verification_Calculations[[#This Row],[Superstructure Depth]]-Level_Verification_Calculations[[#This Row],[Bearing Height]],"")</f>
        <v/>
      </c>
      <c r="U51" s="21" t="str">
        <f>IFERROR(Level_Verification_Calculations[[#This Row],[Pier Elevation]]-Level_Verification_Calculations[[#This Row],[Top of Foundation Concrete]],"")</f>
        <v/>
      </c>
      <c r="V51" s="21" t="str">
        <f>IFERROR(Level_Verification_Calculations[[#This Row],[Pier Height (IFC DWG)]]-Level_Verification_Calculations[[#This Row],[Pier Height (Calculated)]],"")</f>
        <v/>
      </c>
      <c r="W51" s="83" t="str">
        <f>IF(Level_Verification_Calculations[[#This Row],[Axis]]="","",IFERROR(VLOOKUP(Level_Verification_Calculations[[#This Row],[Axis]],COORDINATE_DATA[],MATCH(Level_Verification_Calculations[[#Headers],[Axis Center
X Coordinate]],COORDINATE_DATA[#Headers],0),FALSE),""))</f>
        <v/>
      </c>
      <c r="X51" s="83" t="str">
        <f>IF(Level_Verification_Calculations[[#This Row],[Axis]]="","",IFERROR(VLOOKUP(Level_Verification_Calculations[[#This Row],[Axis]],COORDINATE_DATA[],MATCH(Level_Verification_Calculations[[#Headers],[Axis Center
Y Coordinate]],COORDINATE_DATA[#Headers],0),FALSE),""))</f>
        <v/>
      </c>
      <c r="Y51" s="83" t="str">
        <f>IF(Level_Verification_Calculations[[#This Row],[Axis]]="","",IFERROR(VLOOKUP(Level_Verification_Calculations[[#This Row],[Axis]],COORDINATE_DATA[],MATCH(Level_Verification_Calculations[[#Headers],[θ]],COORDINATE_DATA[#Headers],0),FALSE),""))</f>
        <v/>
      </c>
    </row>
    <row r="52" spans="2:25" x14ac:dyDescent="0.25">
      <c r="B52" s="18">
        <f>COUNT($B$7:B51)+1</f>
        <v>45</v>
      </c>
      <c r="C52" s="25" t="str" cm="1">
        <f t="array" ref="C52">IF(INDEX(AXIS_DATA[Axis], B52)=0,"",INDEX(AXIS_DATA[Axis], B52))</f>
        <v/>
      </c>
      <c r="D52" s="22" t="str">
        <f>IFERROR(VLOOKUP(Level_Verification_Calculations[[#This Row],[Axis]],AXIS_DATA[],MATCH(Level_Verification_Calculations[[#Headers],[Station]],AXIS_DATA[#Headers],0),FALSE),"")</f>
        <v/>
      </c>
      <c r="E52" s="22" t="str" cm="1">
        <f t="array" ref="E5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2" s="23" t="str" cm="1">
        <f t="array" ref="F5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2" s="24" t="str">
        <f>IFERROR(VLOOKUP(Level_Verification_Calculations[[#This Row],[Segment Number]],PROFILE_DATA[],MATCH(Level_Verification_Calculations[[#Headers],[Segment Type]],PROFILE_DATA[#Headers],0),FALSE),"")</f>
        <v/>
      </c>
      <c r="H52" s="16" t="str">
        <f>IFERROR(VLOOKUP(Level_Verification_Calculations[[#This Row],[Axis]],AXIS_DATA[],MATCH(Level_Verification_Calculations[[#Headers],[Section]],AXIS_DATA[#Headers],0),FALSE),"")</f>
        <v/>
      </c>
      <c r="I52" s="16" t="str">
        <f>IFERROR(VLOOKUP(Level_Verification_Calculations[[#This Row],[Section]],SECTION_DATA[],MATCH(Level_Verification_Calculations[[#Headers],[Alignment-Structure Axis Offset]],SECTION_DATA[#Headers],0),0),"")</f>
        <v/>
      </c>
      <c r="J52" s="16" t="str">
        <f>IFERROR(VLOOKUP(Level_Verification_Calculations[[#This Row],[Section]],SECTION_DATA[],MATCH(Level_Verification_Calculations[[#Headers],[Superelevation (e%)]],SECTION_DATA[#Headers],0),0),"")</f>
        <v/>
      </c>
      <c r="K52" s="16" t="str">
        <f>IFERROR(VLOOKUP(Level_Verification_Calculations[[#This Row],[Section]],SECTION_DATA[],MATCH(Level_Verification_Calculations[[#Headers],[Asphalt Thickness]],SECTION_DATA[#Headers],0),0),"")</f>
        <v/>
      </c>
      <c r="L52"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2" s="16" t="str">
        <f>IFERROR(VLOOKUP(Level_Verification_Calculations[[#This Row],[Axis]],AXIS_DATA[],MATCH(Level_Verification_Calculations[[#Headers],[Axis Type]],AXIS_DATA[#Headers],0),FALSE),"")</f>
        <v/>
      </c>
      <c r="N52" s="16" t="str">
        <f>IFERROR(IF(Level_Verification_Calculations[[#This Row],[Axis Type]]="Fixed axis",0,VLOOKUP(Level_Verification_Calculations[[#This Row],[Section]],SECTION_DATA[],MATCH(Level_Verification_Calculations[[#Headers],[Bearing Height]],SECTION_DATA[#Headers],0),FALSE)),"")</f>
        <v/>
      </c>
      <c r="O52" s="16" t="str">
        <f>IFERROR(VLOOKUP(Level_Verification_Calculations[[#This Row],[Axis]],AXIS_DATA[],MATCH(Level_Verification_Calculations[[#Headers],[Foundation Level]],AXIS_DATA[#Headers],0),FALSE),"")</f>
        <v/>
      </c>
      <c r="P52" s="16" t="str">
        <f>IFERROR(VLOOKUP(Level_Verification_Calculations[[#This Row],[Axis]],AXIS_DATA[],MATCH(Level_Verification_Calculations[[#Headers],[Foundation Depth]],AXIS_DATA[#Headers],0),FALSE),"")</f>
        <v/>
      </c>
      <c r="Q52" s="16" t="str">
        <f>IFERROR(Level_Verification_Calculations[[#This Row],[Foundation Level]]+Level_Verification_Calculations[[#This Row],[Foundation Depth]],"")</f>
        <v/>
      </c>
      <c r="R52" s="21" t="str">
        <f>IFERROR(VLOOKUP(Level_Verification_Calculations[[#This Row],[Axis]],AXIS_DATA[],MATCH(Level_Verification_Calculations[[#Headers],[Pier Height (IFC DWG)]],AXIS_DATA[#Headers],0),FALSE),"")</f>
        <v/>
      </c>
      <c r="S52" s="16" t="str">
        <f>IFERROR(VLOOKUP(Level_Verification_Calculations[[#This Row],[Section]],SECTION_DATA[],MATCH(Level_Verification_Calculations[[#Headers],[Superstructure Depth]],SECTION_DATA[#Headers],0),FALSE),"")</f>
        <v/>
      </c>
      <c r="T52" s="16" t="str">
        <f>IFERROR(Level_Verification_Calculations[[#This Row],[Structure Elevation]]-Level_Verification_Calculations[[#This Row],[Superstructure Depth]]-Level_Verification_Calculations[[#This Row],[Bearing Height]],"")</f>
        <v/>
      </c>
      <c r="U52" s="21" t="str">
        <f>IFERROR(Level_Verification_Calculations[[#This Row],[Pier Elevation]]-Level_Verification_Calculations[[#This Row],[Top of Foundation Concrete]],"")</f>
        <v/>
      </c>
      <c r="V52" s="21" t="str">
        <f>IFERROR(Level_Verification_Calculations[[#This Row],[Pier Height (IFC DWG)]]-Level_Verification_Calculations[[#This Row],[Pier Height (Calculated)]],"")</f>
        <v/>
      </c>
      <c r="W52" s="83" t="str">
        <f>IF(Level_Verification_Calculations[[#This Row],[Axis]]="","",IFERROR(VLOOKUP(Level_Verification_Calculations[[#This Row],[Axis]],COORDINATE_DATA[],MATCH(Level_Verification_Calculations[[#Headers],[Axis Center
X Coordinate]],COORDINATE_DATA[#Headers],0),FALSE),""))</f>
        <v/>
      </c>
      <c r="X52" s="83" t="str">
        <f>IF(Level_Verification_Calculations[[#This Row],[Axis]]="","",IFERROR(VLOOKUP(Level_Verification_Calculations[[#This Row],[Axis]],COORDINATE_DATA[],MATCH(Level_Verification_Calculations[[#Headers],[Axis Center
Y Coordinate]],COORDINATE_DATA[#Headers],0),FALSE),""))</f>
        <v/>
      </c>
      <c r="Y52" s="83" t="str">
        <f>IF(Level_Verification_Calculations[[#This Row],[Axis]]="","",IFERROR(VLOOKUP(Level_Verification_Calculations[[#This Row],[Axis]],COORDINATE_DATA[],MATCH(Level_Verification_Calculations[[#Headers],[θ]],COORDINATE_DATA[#Headers],0),FALSE),""))</f>
        <v/>
      </c>
    </row>
    <row r="53" spans="2:25" x14ac:dyDescent="0.25">
      <c r="B53" s="18">
        <f>COUNT($B$7:B52)+1</f>
        <v>46</v>
      </c>
      <c r="C53" s="25" t="str" cm="1">
        <f t="array" ref="C53">IF(INDEX(AXIS_DATA[Axis], B53)=0,"",INDEX(AXIS_DATA[Axis], B53))</f>
        <v/>
      </c>
      <c r="D53" s="22" t="str">
        <f>IFERROR(VLOOKUP(Level_Verification_Calculations[[#This Row],[Axis]],AXIS_DATA[],MATCH(Level_Verification_Calculations[[#Headers],[Station]],AXIS_DATA[#Headers],0),FALSE),"")</f>
        <v/>
      </c>
      <c r="E53" s="22" t="str" cm="1">
        <f t="array" ref="E5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3" s="23" t="str" cm="1">
        <f t="array" ref="F5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3" s="24" t="str">
        <f>IFERROR(VLOOKUP(Level_Verification_Calculations[[#This Row],[Segment Number]],PROFILE_DATA[],MATCH(Level_Verification_Calculations[[#Headers],[Segment Type]],PROFILE_DATA[#Headers],0),FALSE),"")</f>
        <v/>
      </c>
      <c r="H53" s="16" t="str">
        <f>IFERROR(VLOOKUP(Level_Verification_Calculations[[#This Row],[Axis]],AXIS_DATA[],MATCH(Level_Verification_Calculations[[#Headers],[Section]],AXIS_DATA[#Headers],0),FALSE),"")</f>
        <v/>
      </c>
      <c r="I53" s="16" t="str">
        <f>IFERROR(VLOOKUP(Level_Verification_Calculations[[#This Row],[Section]],SECTION_DATA[],MATCH(Level_Verification_Calculations[[#Headers],[Alignment-Structure Axis Offset]],SECTION_DATA[#Headers],0),0),"")</f>
        <v/>
      </c>
      <c r="J53" s="16" t="str">
        <f>IFERROR(VLOOKUP(Level_Verification_Calculations[[#This Row],[Section]],SECTION_DATA[],MATCH(Level_Verification_Calculations[[#Headers],[Superelevation (e%)]],SECTION_DATA[#Headers],0),0),"")</f>
        <v/>
      </c>
      <c r="K53" s="16" t="str">
        <f>IFERROR(VLOOKUP(Level_Verification_Calculations[[#This Row],[Section]],SECTION_DATA[],MATCH(Level_Verification_Calculations[[#Headers],[Asphalt Thickness]],SECTION_DATA[#Headers],0),0),"")</f>
        <v/>
      </c>
      <c r="L53"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3" s="16" t="str">
        <f>IFERROR(VLOOKUP(Level_Verification_Calculations[[#This Row],[Axis]],AXIS_DATA[],MATCH(Level_Verification_Calculations[[#Headers],[Axis Type]],AXIS_DATA[#Headers],0),FALSE),"")</f>
        <v/>
      </c>
      <c r="N53" s="16" t="str">
        <f>IFERROR(IF(Level_Verification_Calculations[[#This Row],[Axis Type]]="Fixed axis",0,VLOOKUP(Level_Verification_Calculations[[#This Row],[Section]],SECTION_DATA[],MATCH(Level_Verification_Calculations[[#Headers],[Bearing Height]],SECTION_DATA[#Headers],0),FALSE)),"")</f>
        <v/>
      </c>
      <c r="O53" s="16" t="str">
        <f>IFERROR(VLOOKUP(Level_Verification_Calculations[[#This Row],[Axis]],AXIS_DATA[],MATCH(Level_Verification_Calculations[[#Headers],[Foundation Level]],AXIS_DATA[#Headers],0),FALSE),"")</f>
        <v/>
      </c>
      <c r="P53" s="16" t="str">
        <f>IFERROR(VLOOKUP(Level_Verification_Calculations[[#This Row],[Axis]],AXIS_DATA[],MATCH(Level_Verification_Calculations[[#Headers],[Foundation Depth]],AXIS_DATA[#Headers],0),FALSE),"")</f>
        <v/>
      </c>
      <c r="Q53" s="16" t="str">
        <f>IFERROR(Level_Verification_Calculations[[#This Row],[Foundation Level]]+Level_Verification_Calculations[[#This Row],[Foundation Depth]],"")</f>
        <v/>
      </c>
      <c r="R53" s="21" t="str">
        <f>IFERROR(VLOOKUP(Level_Verification_Calculations[[#This Row],[Axis]],AXIS_DATA[],MATCH(Level_Verification_Calculations[[#Headers],[Pier Height (IFC DWG)]],AXIS_DATA[#Headers],0),FALSE),"")</f>
        <v/>
      </c>
      <c r="S53" s="16" t="str">
        <f>IFERROR(VLOOKUP(Level_Verification_Calculations[[#This Row],[Section]],SECTION_DATA[],MATCH(Level_Verification_Calculations[[#Headers],[Superstructure Depth]],SECTION_DATA[#Headers],0),FALSE),"")</f>
        <v/>
      </c>
      <c r="T53" s="16" t="str">
        <f>IFERROR(Level_Verification_Calculations[[#This Row],[Structure Elevation]]-Level_Verification_Calculations[[#This Row],[Superstructure Depth]]-Level_Verification_Calculations[[#This Row],[Bearing Height]],"")</f>
        <v/>
      </c>
      <c r="U53" s="21" t="str">
        <f>IFERROR(Level_Verification_Calculations[[#This Row],[Pier Elevation]]-Level_Verification_Calculations[[#This Row],[Top of Foundation Concrete]],"")</f>
        <v/>
      </c>
      <c r="V53" s="21" t="str">
        <f>IFERROR(Level_Verification_Calculations[[#This Row],[Pier Height (IFC DWG)]]-Level_Verification_Calculations[[#This Row],[Pier Height (Calculated)]],"")</f>
        <v/>
      </c>
      <c r="W53" s="83" t="str">
        <f>IF(Level_Verification_Calculations[[#This Row],[Axis]]="","",IFERROR(VLOOKUP(Level_Verification_Calculations[[#This Row],[Axis]],COORDINATE_DATA[],MATCH(Level_Verification_Calculations[[#Headers],[Axis Center
X Coordinate]],COORDINATE_DATA[#Headers],0),FALSE),""))</f>
        <v/>
      </c>
      <c r="X53" s="83" t="str">
        <f>IF(Level_Verification_Calculations[[#This Row],[Axis]]="","",IFERROR(VLOOKUP(Level_Verification_Calculations[[#This Row],[Axis]],COORDINATE_DATA[],MATCH(Level_Verification_Calculations[[#Headers],[Axis Center
Y Coordinate]],COORDINATE_DATA[#Headers],0),FALSE),""))</f>
        <v/>
      </c>
      <c r="Y53" s="83" t="str">
        <f>IF(Level_Verification_Calculations[[#This Row],[Axis]]="","",IFERROR(VLOOKUP(Level_Verification_Calculations[[#This Row],[Axis]],COORDINATE_DATA[],MATCH(Level_Verification_Calculations[[#Headers],[θ]],COORDINATE_DATA[#Headers],0),FALSE),""))</f>
        <v/>
      </c>
    </row>
    <row r="54" spans="2:25" x14ac:dyDescent="0.25">
      <c r="B54" s="18">
        <f>COUNT($B$7:B53)+1</f>
        <v>47</v>
      </c>
      <c r="C54" s="25" t="str" cm="1">
        <f t="array" ref="C54">IF(INDEX(AXIS_DATA[Axis], B54)=0,"",INDEX(AXIS_DATA[Axis], B54))</f>
        <v/>
      </c>
      <c r="D54" s="22" t="str">
        <f>IFERROR(VLOOKUP(Level_Verification_Calculations[[#This Row],[Axis]],AXIS_DATA[],MATCH(Level_Verification_Calculations[[#Headers],[Station]],AXIS_DATA[#Headers],0),FALSE),"")</f>
        <v/>
      </c>
      <c r="E54" s="22" t="str" cm="1">
        <f t="array" ref="E5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4" s="23" t="str" cm="1">
        <f t="array" ref="F5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4" s="24" t="str">
        <f>IFERROR(VLOOKUP(Level_Verification_Calculations[[#This Row],[Segment Number]],PROFILE_DATA[],MATCH(Level_Verification_Calculations[[#Headers],[Segment Type]],PROFILE_DATA[#Headers],0),FALSE),"")</f>
        <v/>
      </c>
      <c r="H54" s="16" t="str">
        <f>IFERROR(VLOOKUP(Level_Verification_Calculations[[#This Row],[Axis]],AXIS_DATA[],MATCH(Level_Verification_Calculations[[#Headers],[Section]],AXIS_DATA[#Headers],0),FALSE),"")</f>
        <v/>
      </c>
      <c r="I54" s="16" t="str">
        <f>IFERROR(VLOOKUP(Level_Verification_Calculations[[#This Row],[Section]],SECTION_DATA[],MATCH(Level_Verification_Calculations[[#Headers],[Alignment-Structure Axis Offset]],SECTION_DATA[#Headers],0),0),"")</f>
        <v/>
      </c>
      <c r="J54" s="16" t="str">
        <f>IFERROR(VLOOKUP(Level_Verification_Calculations[[#This Row],[Section]],SECTION_DATA[],MATCH(Level_Verification_Calculations[[#Headers],[Superelevation (e%)]],SECTION_DATA[#Headers],0),0),"")</f>
        <v/>
      </c>
      <c r="K54" s="16" t="str">
        <f>IFERROR(VLOOKUP(Level_Verification_Calculations[[#This Row],[Section]],SECTION_DATA[],MATCH(Level_Verification_Calculations[[#Headers],[Asphalt Thickness]],SECTION_DATA[#Headers],0),0),"")</f>
        <v/>
      </c>
      <c r="L54"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4" s="16" t="str">
        <f>IFERROR(VLOOKUP(Level_Verification_Calculations[[#This Row],[Axis]],AXIS_DATA[],MATCH(Level_Verification_Calculations[[#Headers],[Axis Type]],AXIS_DATA[#Headers],0),FALSE),"")</f>
        <v/>
      </c>
      <c r="N54" s="16" t="str">
        <f>IFERROR(IF(Level_Verification_Calculations[[#This Row],[Axis Type]]="Fixed axis",0,VLOOKUP(Level_Verification_Calculations[[#This Row],[Section]],SECTION_DATA[],MATCH(Level_Verification_Calculations[[#Headers],[Bearing Height]],SECTION_DATA[#Headers],0),FALSE)),"")</f>
        <v/>
      </c>
      <c r="O54" s="16" t="str">
        <f>IFERROR(VLOOKUP(Level_Verification_Calculations[[#This Row],[Axis]],AXIS_DATA[],MATCH(Level_Verification_Calculations[[#Headers],[Foundation Level]],AXIS_DATA[#Headers],0),FALSE),"")</f>
        <v/>
      </c>
      <c r="P54" s="16" t="str">
        <f>IFERROR(VLOOKUP(Level_Verification_Calculations[[#This Row],[Axis]],AXIS_DATA[],MATCH(Level_Verification_Calculations[[#Headers],[Foundation Depth]],AXIS_DATA[#Headers],0),FALSE),"")</f>
        <v/>
      </c>
      <c r="Q54" s="16" t="str">
        <f>IFERROR(Level_Verification_Calculations[[#This Row],[Foundation Level]]+Level_Verification_Calculations[[#This Row],[Foundation Depth]],"")</f>
        <v/>
      </c>
      <c r="R54" s="21" t="str">
        <f>IFERROR(VLOOKUP(Level_Verification_Calculations[[#This Row],[Axis]],AXIS_DATA[],MATCH(Level_Verification_Calculations[[#Headers],[Pier Height (IFC DWG)]],AXIS_DATA[#Headers],0),FALSE),"")</f>
        <v/>
      </c>
      <c r="S54" s="16" t="str">
        <f>IFERROR(VLOOKUP(Level_Verification_Calculations[[#This Row],[Section]],SECTION_DATA[],MATCH(Level_Verification_Calculations[[#Headers],[Superstructure Depth]],SECTION_DATA[#Headers],0),FALSE),"")</f>
        <v/>
      </c>
      <c r="T54" s="16" t="str">
        <f>IFERROR(Level_Verification_Calculations[[#This Row],[Structure Elevation]]-Level_Verification_Calculations[[#This Row],[Superstructure Depth]]-Level_Verification_Calculations[[#This Row],[Bearing Height]],"")</f>
        <v/>
      </c>
      <c r="U54" s="21" t="str">
        <f>IFERROR(Level_Verification_Calculations[[#This Row],[Pier Elevation]]-Level_Verification_Calculations[[#This Row],[Top of Foundation Concrete]],"")</f>
        <v/>
      </c>
      <c r="V54" s="21" t="str">
        <f>IFERROR(Level_Verification_Calculations[[#This Row],[Pier Height (IFC DWG)]]-Level_Verification_Calculations[[#This Row],[Pier Height (Calculated)]],"")</f>
        <v/>
      </c>
      <c r="W54" s="83" t="str">
        <f>IF(Level_Verification_Calculations[[#This Row],[Axis]]="","",IFERROR(VLOOKUP(Level_Verification_Calculations[[#This Row],[Axis]],COORDINATE_DATA[],MATCH(Level_Verification_Calculations[[#Headers],[Axis Center
X Coordinate]],COORDINATE_DATA[#Headers],0),FALSE),""))</f>
        <v/>
      </c>
      <c r="X54" s="83" t="str">
        <f>IF(Level_Verification_Calculations[[#This Row],[Axis]]="","",IFERROR(VLOOKUP(Level_Verification_Calculations[[#This Row],[Axis]],COORDINATE_DATA[],MATCH(Level_Verification_Calculations[[#Headers],[Axis Center
Y Coordinate]],COORDINATE_DATA[#Headers],0),FALSE),""))</f>
        <v/>
      </c>
      <c r="Y54" s="83" t="str">
        <f>IF(Level_Verification_Calculations[[#This Row],[Axis]]="","",IFERROR(VLOOKUP(Level_Verification_Calculations[[#This Row],[Axis]],COORDINATE_DATA[],MATCH(Level_Verification_Calculations[[#Headers],[θ]],COORDINATE_DATA[#Headers],0),FALSE),""))</f>
        <v/>
      </c>
    </row>
    <row r="55" spans="2:25" x14ac:dyDescent="0.25">
      <c r="B55" s="18">
        <f>COUNT($B$7:B54)+1</f>
        <v>48</v>
      </c>
      <c r="C55" s="25" t="str" cm="1">
        <f t="array" ref="C55">IF(INDEX(AXIS_DATA[Axis], B55)=0,"",INDEX(AXIS_DATA[Axis], B55))</f>
        <v/>
      </c>
      <c r="D55" s="22" t="str">
        <f>IFERROR(VLOOKUP(Level_Verification_Calculations[[#This Row],[Axis]],AXIS_DATA[],MATCH(Level_Verification_Calculations[[#Headers],[Station]],AXIS_DATA[#Headers],0),FALSE),"")</f>
        <v/>
      </c>
      <c r="E55" s="22" t="str" cm="1">
        <f t="array" ref="E5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5" s="23" t="str" cm="1">
        <f t="array" ref="F5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5" s="24" t="str">
        <f>IFERROR(VLOOKUP(Level_Verification_Calculations[[#This Row],[Segment Number]],PROFILE_DATA[],MATCH(Level_Verification_Calculations[[#Headers],[Segment Type]],PROFILE_DATA[#Headers],0),FALSE),"")</f>
        <v/>
      </c>
      <c r="H55" s="16" t="str">
        <f>IFERROR(VLOOKUP(Level_Verification_Calculations[[#This Row],[Axis]],AXIS_DATA[],MATCH(Level_Verification_Calculations[[#Headers],[Section]],AXIS_DATA[#Headers],0),FALSE),"")</f>
        <v/>
      </c>
      <c r="I55" s="16" t="str">
        <f>IFERROR(VLOOKUP(Level_Verification_Calculations[[#This Row],[Section]],SECTION_DATA[],MATCH(Level_Verification_Calculations[[#Headers],[Alignment-Structure Axis Offset]],SECTION_DATA[#Headers],0),0),"")</f>
        <v/>
      </c>
      <c r="J55" s="16" t="str">
        <f>IFERROR(VLOOKUP(Level_Verification_Calculations[[#This Row],[Section]],SECTION_DATA[],MATCH(Level_Verification_Calculations[[#Headers],[Superelevation (e%)]],SECTION_DATA[#Headers],0),0),"")</f>
        <v/>
      </c>
      <c r="K55" s="16" t="str">
        <f>IFERROR(VLOOKUP(Level_Verification_Calculations[[#This Row],[Section]],SECTION_DATA[],MATCH(Level_Verification_Calculations[[#Headers],[Asphalt Thickness]],SECTION_DATA[#Headers],0),0),"")</f>
        <v/>
      </c>
      <c r="L5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5" s="16" t="str">
        <f>IFERROR(VLOOKUP(Level_Verification_Calculations[[#This Row],[Axis]],AXIS_DATA[],MATCH(Level_Verification_Calculations[[#Headers],[Axis Type]],AXIS_DATA[#Headers],0),FALSE),"")</f>
        <v/>
      </c>
      <c r="N55" s="16" t="str">
        <f>IFERROR(IF(Level_Verification_Calculations[[#This Row],[Axis Type]]="Fixed axis",0,VLOOKUP(Level_Verification_Calculations[[#This Row],[Section]],SECTION_DATA[],MATCH(Level_Verification_Calculations[[#Headers],[Bearing Height]],SECTION_DATA[#Headers],0),FALSE)),"")</f>
        <v/>
      </c>
      <c r="O55" s="16" t="str">
        <f>IFERROR(VLOOKUP(Level_Verification_Calculations[[#This Row],[Axis]],AXIS_DATA[],MATCH(Level_Verification_Calculations[[#Headers],[Foundation Level]],AXIS_DATA[#Headers],0),FALSE),"")</f>
        <v/>
      </c>
      <c r="P55" s="16" t="str">
        <f>IFERROR(VLOOKUP(Level_Verification_Calculations[[#This Row],[Axis]],AXIS_DATA[],MATCH(Level_Verification_Calculations[[#Headers],[Foundation Depth]],AXIS_DATA[#Headers],0),FALSE),"")</f>
        <v/>
      </c>
      <c r="Q55" s="16" t="str">
        <f>IFERROR(Level_Verification_Calculations[[#This Row],[Foundation Level]]+Level_Verification_Calculations[[#This Row],[Foundation Depth]],"")</f>
        <v/>
      </c>
      <c r="R55" s="21" t="str">
        <f>IFERROR(VLOOKUP(Level_Verification_Calculations[[#This Row],[Axis]],AXIS_DATA[],MATCH(Level_Verification_Calculations[[#Headers],[Pier Height (IFC DWG)]],AXIS_DATA[#Headers],0),FALSE),"")</f>
        <v/>
      </c>
      <c r="S55" s="16" t="str">
        <f>IFERROR(VLOOKUP(Level_Verification_Calculations[[#This Row],[Section]],SECTION_DATA[],MATCH(Level_Verification_Calculations[[#Headers],[Superstructure Depth]],SECTION_DATA[#Headers],0),FALSE),"")</f>
        <v/>
      </c>
      <c r="T55" s="16" t="str">
        <f>IFERROR(Level_Verification_Calculations[[#This Row],[Structure Elevation]]-Level_Verification_Calculations[[#This Row],[Superstructure Depth]]-Level_Verification_Calculations[[#This Row],[Bearing Height]],"")</f>
        <v/>
      </c>
      <c r="U55" s="21" t="str">
        <f>IFERROR(Level_Verification_Calculations[[#This Row],[Pier Elevation]]-Level_Verification_Calculations[[#This Row],[Top of Foundation Concrete]],"")</f>
        <v/>
      </c>
      <c r="V55" s="21" t="str">
        <f>IFERROR(Level_Verification_Calculations[[#This Row],[Pier Height (IFC DWG)]]-Level_Verification_Calculations[[#This Row],[Pier Height (Calculated)]],"")</f>
        <v/>
      </c>
      <c r="W55" s="83" t="str">
        <f>IF(Level_Verification_Calculations[[#This Row],[Axis]]="","",IFERROR(VLOOKUP(Level_Verification_Calculations[[#This Row],[Axis]],COORDINATE_DATA[],MATCH(Level_Verification_Calculations[[#Headers],[Axis Center
X Coordinate]],COORDINATE_DATA[#Headers],0),FALSE),""))</f>
        <v/>
      </c>
      <c r="X55" s="83" t="str">
        <f>IF(Level_Verification_Calculations[[#This Row],[Axis]]="","",IFERROR(VLOOKUP(Level_Verification_Calculations[[#This Row],[Axis]],COORDINATE_DATA[],MATCH(Level_Verification_Calculations[[#Headers],[Axis Center
Y Coordinate]],COORDINATE_DATA[#Headers],0),FALSE),""))</f>
        <v/>
      </c>
      <c r="Y55" s="83" t="str">
        <f>IF(Level_Verification_Calculations[[#This Row],[Axis]]="","",IFERROR(VLOOKUP(Level_Verification_Calculations[[#This Row],[Axis]],COORDINATE_DATA[],MATCH(Level_Verification_Calculations[[#Headers],[θ]],COORDINATE_DATA[#Headers],0),FALSE),""))</f>
        <v/>
      </c>
    </row>
    <row r="56" spans="2:25" x14ac:dyDescent="0.25">
      <c r="B56" s="18">
        <f>COUNT($B$7:B55)+1</f>
        <v>49</v>
      </c>
      <c r="C56" s="25" t="str" cm="1">
        <f t="array" ref="C56">IF(INDEX(AXIS_DATA[Axis], B56)=0,"",INDEX(AXIS_DATA[Axis], B56))</f>
        <v/>
      </c>
      <c r="D56" s="22" t="str">
        <f>IFERROR(VLOOKUP(Level_Verification_Calculations[[#This Row],[Axis]],AXIS_DATA[],MATCH(Level_Verification_Calculations[[#Headers],[Station]],AXIS_DATA[#Headers],0),FALSE),"")</f>
        <v/>
      </c>
      <c r="E56" s="22" t="str" cm="1">
        <f t="array" ref="E5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6" s="23" t="str" cm="1">
        <f t="array" ref="F5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6" s="24" t="str">
        <f>IFERROR(VLOOKUP(Level_Verification_Calculations[[#This Row],[Segment Number]],PROFILE_DATA[],MATCH(Level_Verification_Calculations[[#Headers],[Segment Type]],PROFILE_DATA[#Headers],0),FALSE),"")</f>
        <v/>
      </c>
      <c r="H56" s="16" t="str">
        <f>IFERROR(VLOOKUP(Level_Verification_Calculations[[#This Row],[Axis]],AXIS_DATA[],MATCH(Level_Verification_Calculations[[#Headers],[Section]],AXIS_DATA[#Headers],0),FALSE),"")</f>
        <v/>
      </c>
      <c r="I56" s="16" t="str">
        <f>IFERROR(VLOOKUP(Level_Verification_Calculations[[#This Row],[Section]],SECTION_DATA[],MATCH(Level_Verification_Calculations[[#Headers],[Alignment-Structure Axis Offset]],SECTION_DATA[#Headers],0),0),"")</f>
        <v/>
      </c>
      <c r="J56" s="16" t="str">
        <f>IFERROR(VLOOKUP(Level_Verification_Calculations[[#This Row],[Section]],SECTION_DATA[],MATCH(Level_Verification_Calculations[[#Headers],[Superelevation (e%)]],SECTION_DATA[#Headers],0),0),"")</f>
        <v/>
      </c>
      <c r="K56" s="16" t="str">
        <f>IFERROR(VLOOKUP(Level_Verification_Calculations[[#This Row],[Section]],SECTION_DATA[],MATCH(Level_Verification_Calculations[[#Headers],[Asphalt Thickness]],SECTION_DATA[#Headers],0),0),"")</f>
        <v/>
      </c>
      <c r="L5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6" s="16" t="str">
        <f>IFERROR(VLOOKUP(Level_Verification_Calculations[[#This Row],[Axis]],AXIS_DATA[],MATCH(Level_Verification_Calculations[[#Headers],[Axis Type]],AXIS_DATA[#Headers],0),FALSE),"")</f>
        <v/>
      </c>
      <c r="N56" s="16" t="str">
        <f>IFERROR(IF(Level_Verification_Calculations[[#This Row],[Axis Type]]="Fixed axis",0,VLOOKUP(Level_Verification_Calculations[[#This Row],[Section]],SECTION_DATA[],MATCH(Level_Verification_Calculations[[#Headers],[Bearing Height]],SECTION_DATA[#Headers],0),FALSE)),"")</f>
        <v/>
      </c>
      <c r="O56" s="16" t="str">
        <f>IFERROR(VLOOKUP(Level_Verification_Calculations[[#This Row],[Axis]],AXIS_DATA[],MATCH(Level_Verification_Calculations[[#Headers],[Foundation Level]],AXIS_DATA[#Headers],0),FALSE),"")</f>
        <v/>
      </c>
      <c r="P56" s="16" t="str">
        <f>IFERROR(VLOOKUP(Level_Verification_Calculations[[#This Row],[Axis]],AXIS_DATA[],MATCH(Level_Verification_Calculations[[#Headers],[Foundation Depth]],AXIS_DATA[#Headers],0),FALSE),"")</f>
        <v/>
      </c>
      <c r="Q56" s="16" t="str">
        <f>IFERROR(Level_Verification_Calculations[[#This Row],[Foundation Level]]+Level_Verification_Calculations[[#This Row],[Foundation Depth]],"")</f>
        <v/>
      </c>
      <c r="R56" s="21" t="str">
        <f>IFERROR(VLOOKUP(Level_Verification_Calculations[[#This Row],[Axis]],AXIS_DATA[],MATCH(Level_Verification_Calculations[[#Headers],[Pier Height (IFC DWG)]],AXIS_DATA[#Headers],0),FALSE),"")</f>
        <v/>
      </c>
      <c r="S56" s="16" t="str">
        <f>IFERROR(VLOOKUP(Level_Verification_Calculations[[#This Row],[Section]],SECTION_DATA[],MATCH(Level_Verification_Calculations[[#Headers],[Superstructure Depth]],SECTION_DATA[#Headers],0),FALSE),"")</f>
        <v/>
      </c>
      <c r="T56" s="16" t="str">
        <f>IFERROR(Level_Verification_Calculations[[#This Row],[Structure Elevation]]-Level_Verification_Calculations[[#This Row],[Superstructure Depth]]-Level_Verification_Calculations[[#This Row],[Bearing Height]],"")</f>
        <v/>
      </c>
      <c r="U56" s="21" t="str">
        <f>IFERROR(Level_Verification_Calculations[[#This Row],[Pier Elevation]]-Level_Verification_Calculations[[#This Row],[Top of Foundation Concrete]],"")</f>
        <v/>
      </c>
      <c r="V56" s="21" t="str">
        <f>IFERROR(Level_Verification_Calculations[[#This Row],[Pier Height (IFC DWG)]]-Level_Verification_Calculations[[#This Row],[Pier Height (Calculated)]],"")</f>
        <v/>
      </c>
      <c r="W56" s="83" t="str">
        <f>IF(Level_Verification_Calculations[[#This Row],[Axis]]="","",IFERROR(VLOOKUP(Level_Verification_Calculations[[#This Row],[Axis]],COORDINATE_DATA[],MATCH(Level_Verification_Calculations[[#Headers],[Axis Center
X Coordinate]],COORDINATE_DATA[#Headers],0),FALSE),""))</f>
        <v/>
      </c>
      <c r="X56" s="83" t="str">
        <f>IF(Level_Verification_Calculations[[#This Row],[Axis]]="","",IFERROR(VLOOKUP(Level_Verification_Calculations[[#This Row],[Axis]],COORDINATE_DATA[],MATCH(Level_Verification_Calculations[[#Headers],[Axis Center
Y Coordinate]],COORDINATE_DATA[#Headers],0),FALSE),""))</f>
        <v/>
      </c>
      <c r="Y56" s="83" t="str">
        <f>IF(Level_Verification_Calculations[[#This Row],[Axis]]="","",IFERROR(VLOOKUP(Level_Verification_Calculations[[#This Row],[Axis]],COORDINATE_DATA[],MATCH(Level_Verification_Calculations[[#Headers],[θ]],COORDINATE_DATA[#Headers],0),FALSE),""))</f>
        <v/>
      </c>
    </row>
    <row r="57" spans="2:25" x14ac:dyDescent="0.25">
      <c r="B57" s="18">
        <f>COUNT($B$7:B56)+1</f>
        <v>50</v>
      </c>
      <c r="C57" s="25" t="str" cm="1">
        <f t="array" ref="C57">IF(INDEX(AXIS_DATA[Axis], B57)=0,"",INDEX(AXIS_DATA[Axis], B57))</f>
        <v/>
      </c>
      <c r="D57" s="22" t="str">
        <f>IFERROR(VLOOKUP(Level_Verification_Calculations[[#This Row],[Axis]],AXIS_DATA[],MATCH(Level_Verification_Calculations[[#Headers],[Station]],AXIS_DATA[#Headers],0),FALSE),"")</f>
        <v/>
      </c>
      <c r="E57" s="22" t="str" cm="1">
        <f t="array" ref="E5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7" s="23" t="str" cm="1">
        <f t="array" ref="F5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7" s="24" t="str">
        <f>IFERROR(VLOOKUP(Level_Verification_Calculations[[#This Row],[Segment Number]],PROFILE_DATA[],MATCH(Level_Verification_Calculations[[#Headers],[Segment Type]],PROFILE_DATA[#Headers],0),FALSE),"")</f>
        <v/>
      </c>
      <c r="H57" s="16" t="str">
        <f>IFERROR(VLOOKUP(Level_Verification_Calculations[[#This Row],[Axis]],AXIS_DATA[],MATCH(Level_Verification_Calculations[[#Headers],[Section]],AXIS_DATA[#Headers],0),FALSE),"")</f>
        <v/>
      </c>
      <c r="I57" s="16" t="str">
        <f>IFERROR(VLOOKUP(Level_Verification_Calculations[[#This Row],[Section]],SECTION_DATA[],MATCH(Level_Verification_Calculations[[#Headers],[Alignment-Structure Axis Offset]],SECTION_DATA[#Headers],0),0),"")</f>
        <v/>
      </c>
      <c r="J57" s="16" t="str">
        <f>IFERROR(VLOOKUP(Level_Verification_Calculations[[#This Row],[Section]],SECTION_DATA[],MATCH(Level_Verification_Calculations[[#Headers],[Superelevation (e%)]],SECTION_DATA[#Headers],0),0),"")</f>
        <v/>
      </c>
      <c r="K57" s="16" t="str">
        <f>IFERROR(VLOOKUP(Level_Verification_Calculations[[#This Row],[Section]],SECTION_DATA[],MATCH(Level_Verification_Calculations[[#Headers],[Asphalt Thickness]],SECTION_DATA[#Headers],0),0),"")</f>
        <v/>
      </c>
      <c r="L5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7" s="16" t="str">
        <f>IFERROR(VLOOKUP(Level_Verification_Calculations[[#This Row],[Axis]],AXIS_DATA[],MATCH(Level_Verification_Calculations[[#Headers],[Axis Type]],AXIS_DATA[#Headers],0),FALSE),"")</f>
        <v/>
      </c>
      <c r="N57" s="16" t="str">
        <f>IFERROR(IF(Level_Verification_Calculations[[#This Row],[Axis Type]]="Fixed axis",0,VLOOKUP(Level_Verification_Calculations[[#This Row],[Section]],SECTION_DATA[],MATCH(Level_Verification_Calculations[[#Headers],[Bearing Height]],SECTION_DATA[#Headers],0),FALSE)),"")</f>
        <v/>
      </c>
      <c r="O57" s="16" t="str">
        <f>IFERROR(VLOOKUP(Level_Verification_Calculations[[#This Row],[Axis]],AXIS_DATA[],MATCH(Level_Verification_Calculations[[#Headers],[Foundation Level]],AXIS_DATA[#Headers],0),FALSE),"")</f>
        <v/>
      </c>
      <c r="P57" s="16" t="str">
        <f>IFERROR(VLOOKUP(Level_Verification_Calculations[[#This Row],[Axis]],AXIS_DATA[],MATCH(Level_Verification_Calculations[[#Headers],[Foundation Depth]],AXIS_DATA[#Headers],0),FALSE),"")</f>
        <v/>
      </c>
      <c r="Q57" s="16" t="str">
        <f>IFERROR(Level_Verification_Calculations[[#This Row],[Foundation Level]]+Level_Verification_Calculations[[#This Row],[Foundation Depth]],"")</f>
        <v/>
      </c>
      <c r="R57" s="21" t="str">
        <f>IFERROR(VLOOKUP(Level_Verification_Calculations[[#This Row],[Axis]],AXIS_DATA[],MATCH(Level_Verification_Calculations[[#Headers],[Pier Height (IFC DWG)]],AXIS_DATA[#Headers],0),FALSE),"")</f>
        <v/>
      </c>
      <c r="S57" s="16" t="str">
        <f>IFERROR(VLOOKUP(Level_Verification_Calculations[[#This Row],[Section]],SECTION_DATA[],MATCH(Level_Verification_Calculations[[#Headers],[Superstructure Depth]],SECTION_DATA[#Headers],0),FALSE),"")</f>
        <v/>
      </c>
      <c r="T57" s="16" t="str">
        <f>IFERROR(Level_Verification_Calculations[[#This Row],[Structure Elevation]]-Level_Verification_Calculations[[#This Row],[Superstructure Depth]]-Level_Verification_Calculations[[#This Row],[Bearing Height]],"")</f>
        <v/>
      </c>
      <c r="U57" s="21" t="str">
        <f>IFERROR(Level_Verification_Calculations[[#This Row],[Pier Elevation]]-Level_Verification_Calculations[[#This Row],[Top of Foundation Concrete]],"")</f>
        <v/>
      </c>
      <c r="V57" s="21" t="str">
        <f>IFERROR(Level_Verification_Calculations[[#This Row],[Pier Height (IFC DWG)]]-Level_Verification_Calculations[[#This Row],[Pier Height (Calculated)]],"")</f>
        <v/>
      </c>
      <c r="W57" s="83" t="str">
        <f>IF(Level_Verification_Calculations[[#This Row],[Axis]]="","",IFERROR(VLOOKUP(Level_Verification_Calculations[[#This Row],[Axis]],COORDINATE_DATA[],MATCH(Level_Verification_Calculations[[#Headers],[Axis Center
X Coordinate]],COORDINATE_DATA[#Headers],0),FALSE),""))</f>
        <v/>
      </c>
      <c r="X57" s="83" t="str">
        <f>IF(Level_Verification_Calculations[[#This Row],[Axis]]="","",IFERROR(VLOOKUP(Level_Verification_Calculations[[#This Row],[Axis]],COORDINATE_DATA[],MATCH(Level_Verification_Calculations[[#Headers],[Axis Center
Y Coordinate]],COORDINATE_DATA[#Headers],0),FALSE),""))</f>
        <v/>
      </c>
      <c r="Y57" s="83" t="str">
        <f>IF(Level_Verification_Calculations[[#This Row],[Axis]]="","",IFERROR(VLOOKUP(Level_Verification_Calculations[[#This Row],[Axis]],COORDINATE_DATA[],MATCH(Level_Verification_Calculations[[#Headers],[θ]],COORDINATE_DATA[#Headers],0),FALSE),""))</f>
        <v/>
      </c>
    </row>
    <row r="58" spans="2:25" ht="12.75" customHeight="1" x14ac:dyDescent="0.25"/>
    <row r="70" spans="1:129" s="34" customFormat="1" x14ac:dyDescent="0.25">
      <c r="A70" s="31"/>
      <c r="B70" s="31"/>
      <c r="C70" s="31" t="s">
        <v>93</v>
      </c>
      <c r="D70" s="31"/>
      <c r="E70" s="31"/>
      <c r="F70" s="31"/>
      <c r="G70" s="31"/>
      <c r="H70" s="31"/>
      <c r="I70" s="31"/>
      <c r="J70" s="31"/>
      <c r="K70" s="31"/>
      <c r="L70" s="31"/>
      <c r="M70" s="31"/>
      <c r="N70" s="31"/>
      <c r="O70" s="31"/>
      <c r="P70" s="31"/>
      <c r="Q70" s="31"/>
      <c r="R70" s="31"/>
      <c r="S70" s="31"/>
      <c r="T70" s="32"/>
      <c r="U70" s="32"/>
      <c r="V70" s="32"/>
      <c r="W70" s="32"/>
      <c r="X70" s="32"/>
      <c r="Y70" s="32"/>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row>
  </sheetData>
  <sheetProtection algorithmName="SHA-512" hashValue="IRGGFjf9M2cig4RagOIGzvBc94i5CTusbZLXAmggOv/CiuhsSZK7Qbmo57RkrPgWtgaSQR6sOIJq55hDQqwRcg==" saltValue="vpw3MZmfxqeuWp1lc8rPUQ==" spinCount="100000" sheet="1" objects="1" scenarios="1"/>
  <mergeCells count="2">
    <mergeCell ref="S2:T2"/>
    <mergeCell ref="B4:Y4"/>
  </mergeCells>
  <printOptions horizontalCentered="1"/>
  <pageMargins left="0.25" right="0.25" top="0.75" bottom="0.75" header="0.3" footer="0.3"/>
  <pageSetup paperSize="8" scale="66" orientation="landscape" r:id="rId1"/>
  <headerFooter>
    <oddFooter xml:space="preserve">&amp;L&amp;"Consolas,Regular"&amp;9&amp;K00-049Developed by Engr. Muhammad Bayoumi Ali | E-mail: muhammad.bayoumi.ali@gmail.com | LinkedIn: linkedin.com/in/muhammad-bayoumi-ali </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A0DDE-B855-40B7-9D22-3E1903515E7C}">
  <sheetPr codeName="Sheet6">
    <tabColor rgb="FFFFFFCC"/>
    <pageSetUpPr fitToPage="1"/>
  </sheetPr>
  <dimension ref="A3:E77"/>
  <sheetViews>
    <sheetView zoomScale="90" zoomScaleNormal="90" zoomScaleSheetLayoutView="100" workbookViewId="0"/>
  </sheetViews>
  <sheetFormatPr defaultRowHeight="12" x14ac:dyDescent="0.25"/>
  <cols>
    <col min="1" max="1" width="3.28515625" style="146" bestFit="1" customWidth="1"/>
    <col min="2" max="2" width="37.28515625" style="147" bestFit="1" customWidth="1"/>
    <col min="3" max="3" width="6.140625" style="148" bestFit="1" customWidth="1"/>
    <col min="4" max="4" width="248.140625" style="147" bestFit="1" customWidth="1"/>
    <col min="5" max="5" width="53.7109375" style="147" customWidth="1"/>
    <col min="6" max="16384" width="9.140625" style="147"/>
  </cols>
  <sheetData>
    <row r="3" spans="1:5" s="160" customFormat="1" ht="20.25" x14ac:dyDescent="0.25">
      <c r="A3" s="157"/>
      <c r="B3" s="174" t="s">
        <v>177</v>
      </c>
      <c r="C3" s="175"/>
      <c r="D3" s="176" t="s">
        <v>302</v>
      </c>
    </row>
    <row r="6" spans="1:5" s="146" customFormat="1" x14ac:dyDescent="0.25">
      <c r="A6" s="146" t="s">
        <v>35</v>
      </c>
      <c r="B6" s="146" t="s">
        <v>58</v>
      </c>
      <c r="C6" s="149" t="s">
        <v>59</v>
      </c>
      <c r="D6" s="146" t="s">
        <v>92</v>
      </c>
      <c r="E6" s="149"/>
    </row>
    <row r="7" spans="1:5" x14ac:dyDescent="0.25">
      <c r="A7" s="146">
        <v>1</v>
      </c>
      <c r="B7" s="150" t="str">
        <f>Level_Verification_Calculations[[#Headers],[Axis]]</f>
        <v>Axis</v>
      </c>
      <c r="C7" s="177" t="s">
        <v>39</v>
      </c>
      <c r="D7" s="151" t="s">
        <v>38</v>
      </c>
      <c r="E7" s="148"/>
    </row>
    <row r="8" spans="1:5" x14ac:dyDescent="0.25">
      <c r="A8" s="146">
        <v>2</v>
      </c>
      <c r="B8" s="152" t="str">
        <f>Level_Verification_Calculations[[#Headers],[Station]]</f>
        <v>Station</v>
      </c>
      <c r="C8" s="178">
        <v>2</v>
      </c>
      <c r="D8" s="181" t="s">
        <v>86</v>
      </c>
      <c r="E8" s="148"/>
    </row>
    <row r="9" spans="1:5" x14ac:dyDescent="0.2">
      <c r="A9" s="146">
        <v>3</v>
      </c>
      <c r="B9" s="152" t="str">
        <f>Level_Verification_Calculations[[#Headers],[Alignment Elevation]]</f>
        <v>Alignment Elevation</v>
      </c>
      <c r="C9" s="179">
        <v>3</v>
      </c>
      <c r="D9" s="181" t="s">
        <v>86</v>
      </c>
      <c r="E9" s="121"/>
    </row>
    <row r="10" spans="1:5" x14ac:dyDescent="0.2">
      <c r="A10" s="146">
        <v>4</v>
      </c>
      <c r="B10" s="152" t="str">
        <f>Level_Verification_Calculations[[#Headers],[Segment Number]]</f>
        <v>Segment Number</v>
      </c>
      <c r="C10" s="179"/>
      <c r="D10" s="181"/>
      <c r="E10" s="121"/>
    </row>
    <row r="11" spans="1:5" x14ac:dyDescent="0.25">
      <c r="A11" s="146">
        <v>5</v>
      </c>
      <c r="B11" s="152" t="str">
        <f>Level_Verification_Calculations[[#Headers],[Segment Type]]</f>
        <v>Segment Type</v>
      </c>
      <c r="C11" s="179"/>
      <c r="D11" s="181"/>
      <c r="E11" s="148"/>
    </row>
    <row r="12" spans="1:5" x14ac:dyDescent="0.25">
      <c r="A12" s="146">
        <v>6</v>
      </c>
      <c r="B12" s="152" t="str">
        <f>Level_Verification_Calculations[[#Headers],[Section]]</f>
        <v>Section</v>
      </c>
      <c r="C12" s="179"/>
      <c r="D12" s="181"/>
      <c r="E12" s="148"/>
    </row>
    <row r="13" spans="1:5" x14ac:dyDescent="0.25">
      <c r="A13" s="146">
        <v>7</v>
      </c>
      <c r="B13" s="152" t="str">
        <f>Level_Verification_Calculations[[#Headers],[Superelevation (e%)]]</f>
        <v>Superelevation (e%)</v>
      </c>
      <c r="C13" s="179"/>
      <c r="D13" s="181"/>
      <c r="E13" s="148"/>
    </row>
    <row r="14" spans="1:5" ht="30" x14ac:dyDescent="0.25">
      <c r="A14" s="146">
        <v>8</v>
      </c>
      <c r="B14" s="152" t="str">
        <f>Level_Verification_Calculations[[#Headers],[Structure Elevation]]</f>
        <v>Structure Elevation</v>
      </c>
      <c r="C14" s="179">
        <v>4</v>
      </c>
      <c r="D14" s="200" t="s">
        <v>48</v>
      </c>
      <c r="E14" s="148"/>
    </row>
    <row r="15" spans="1:5" x14ac:dyDescent="0.25">
      <c r="A15" s="146">
        <v>9</v>
      </c>
      <c r="B15" s="152" t="str">
        <f>Level_Verification_Calculations[[#Headers],[Axis Type]]</f>
        <v>Axis Type</v>
      </c>
      <c r="C15" s="179">
        <v>1</v>
      </c>
      <c r="D15" s="181" t="s">
        <v>87</v>
      </c>
      <c r="E15" s="148"/>
    </row>
    <row r="16" spans="1:5" x14ac:dyDescent="0.2">
      <c r="A16" s="146">
        <v>10</v>
      </c>
      <c r="B16" s="152" t="str">
        <f>Level_Verification_Calculations[[#Headers],[Bearing Height]]</f>
        <v>Bearing Height</v>
      </c>
      <c r="C16" s="179"/>
      <c r="D16" s="181"/>
      <c r="E16" s="121"/>
    </row>
    <row r="17" spans="1:5" x14ac:dyDescent="0.25">
      <c r="A17" s="146">
        <v>11</v>
      </c>
      <c r="B17" s="152" t="str">
        <f>Level_Verification_Calculations[[#Headers],[Foundation Level]]</f>
        <v>Foundation Level</v>
      </c>
      <c r="C17" s="179"/>
      <c r="D17" s="181"/>
      <c r="E17" s="148"/>
    </row>
    <row r="18" spans="1:5" x14ac:dyDescent="0.2">
      <c r="A18" s="146">
        <v>12</v>
      </c>
      <c r="B18" s="152" t="str">
        <f>Level_Verification_Calculations[[#Headers],[Foundation Depth]]</f>
        <v>Foundation Depth</v>
      </c>
      <c r="C18" s="179"/>
      <c r="D18" s="181"/>
      <c r="E18" s="121"/>
    </row>
    <row r="19" spans="1:5" x14ac:dyDescent="0.2">
      <c r="A19" s="146">
        <v>13</v>
      </c>
      <c r="B19" s="152" t="str">
        <f>Level_Verification_Calculations[[#Headers],[Top of Foundation Concrete]]</f>
        <v>Top of Foundation Concrete</v>
      </c>
      <c r="C19" s="179">
        <v>6</v>
      </c>
      <c r="D19" s="181" t="s">
        <v>88</v>
      </c>
      <c r="E19" s="121"/>
    </row>
    <row r="20" spans="1:5" x14ac:dyDescent="0.2">
      <c r="A20" s="146">
        <v>14</v>
      </c>
      <c r="B20" s="152" t="str">
        <f>Level_Verification_Calculations[[#Headers],[Pier Height (IFC DWG)]]</f>
        <v>Pier Height (IFC DWG)</v>
      </c>
      <c r="C20" s="179">
        <v>8</v>
      </c>
      <c r="D20" s="181" t="s">
        <v>87</v>
      </c>
      <c r="E20" s="121"/>
    </row>
    <row r="21" spans="1:5" x14ac:dyDescent="0.2">
      <c r="A21" s="146">
        <v>15</v>
      </c>
      <c r="B21" s="152" t="str">
        <f>Level_Verification_Calculations[[#Headers],[Superstructure Depth]]</f>
        <v>Superstructure Depth</v>
      </c>
      <c r="C21" s="179"/>
      <c r="D21" s="181"/>
      <c r="E21" s="121"/>
    </row>
    <row r="22" spans="1:5" ht="15" x14ac:dyDescent="0.25">
      <c r="A22" s="146">
        <v>16</v>
      </c>
      <c r="B22" s="152" t="str">
        <f>Level_Verification_Calculations[[#Headers],[Pier Elevation]]</f>
        <v>Pier Elevation</v>
      </c>
      <c r="C22" s="179">
        <v>5</v>
      </c>
      <c r="D22" s="183" t="s">
        <v>89</v>
      </c>
      <c r="E22" s="148"/>
    </row>
    <row r="23" spans="1:5" ht="15" x14ac:dyDescent="0.25">
      <c r="A23" s="146">
        <v>17</v>
      </c>
      <c r="B23" s="152" t="str">
        <f>Level_Verification_Calculations[[#Headers],[Pier Height (Calculated)]]</f>
        <v>Pier Height (Calculated)</v>
      </c>
      <c r="C23" s="179">
        <v>7</v>
      </c>
      <c r="D23" s="183" t="s">
        <v>49</v>
      </c>
      <c r="E23" s="148"/>
    </row>
    <row r="24" spans="1:5" ht="15" x14ac:dyDescent="0.25">
      <c r="A24" s="146">
        <v>18</v>
      </c>
      <c r="B24" s="152" t="str">
        <f>Level_Verification_Calculations[[#Headers],[Height Difference (m)]]</f>
        <v>Height Difference (m)</v>
      </c>
      <c r="C24" s="179">
        <v>9</v>
      </c>
      <c r="D24" s="183" t="s">
        <v>45</v>
      </c>
      <c r="E24" s="148"/>
    </row>
    <row r="25" spans="1:5" x14ac:dyDescent="0.25">
      <c r="A25" s="146">
        <v>19</v>
      </c>
      <c r="B25" s="152" t="str">
        <f>Level_Verification_Calculations[[#Headers],[Alignment-Structure Axis Offset]]</f>
        <v>Alignment-Structure Axis Offset</v>
      </c>
      <c r="C25" s="179"/>
      <c r="D25" s="181"/>
      <c r="E25" s="148"/>
    </row>
    <row r="26" spans="1:5" x14ac:dyDescent="0.25">
      <c r="A26" s="146">
        <v>20</v>
      </c>
      <c r="B26" s="152" t="str">
        <f>Level_Verification_Calculations[[#Headers],[Asphalt Thickness]]</f>
        <v>Asphalt Thickness</v>
      </c>
      <c r="C26" s="179"/>
      <c r="D26" s="181"/>
      <c r="E26" s="148"/>
    </row>
    <row r="27" spans="1:5" x14ac:dyDescent="0.25">
      <c r="A27" s="146">
        <v>21</v>
      </c>
      <c r="B27" s="152" t="str">
        <f>Level_Verification_Calculations[[#Headers],[Axis Center
X Coordinate]]</f>
        <v>Axis Center
X Coordinate</v>
      </c>
      <c r="C27" s="179"/>
      <c r="D27" s="181"/>
      <c r="E27" s="148"/>
    </row>
    <row r="28" spans="1:5" x14ac:dyDescent="0.25">
      <c r="A28" s="146">
        <v>22</v>
      </c>
      <c r="B28" s="152" t="str">
        <f>Level_Verification_Calculations[[#Headers],[Axis Center
Y Coordinate]]</f>
        <v>Axis Center
Y Coordinate</v>
      </c>
      <c r="C28" s="179"/>
      <c r="D28" s="181"/>
    </row>
    <row r="29" spans="1:5" x14ac:dyDescent="0.25">
      <c r="A29" s="146">
        <v>23</v>
      </c>
      <c r="B29" s="153" t="str">
        <f>Level_Verification_Calculations[[#Headers],[θ]]</f>
        <v>θ</v>
      </c>
      <c r="C29" s="180"/>
      <c r="D29" s="182"/>
    </row>
    <row r="30" spans="1:5" x14ac:dyDescent="0.25">
      <c r="B30" s="154"/>
    </row>
    <row r="31" spans="1:5" s="160" customFormat="1" ht="24" x14ac:dyDescent="0.25">
      <c r="A31" s="157"/>
      <c r="B31" s="161" t="s">
        <v>177</v>
      </c>
      <c r="C31" s="158"/>
      <c r="D31" s="159" t="s">
        <v>200</v>
      </c>
    </row>
    <row r="32" spans="1:5" ht="6" customHeight="1" x14ac:dyDescent="0.25">
      <c r="B32" s="154"/>
    </row>
    <row r="33" spans="1:4" s="160" customFormat="1" ht="24" x14ac:dyDescent="0.25">
      <c r="A33" s="157"/>
      <c r="B33" s="161" t="s">
        <v>39</v>
      </c>
      <c r="C33" s="158"/>
      <c r="D33" s="159" t="s">
        <v>178</v>
      </c>
    </row>
    <row r="34" spans="1:4" ht="6" customHeight="1" x14ac:dyDescent="0.25">
      <c r="B34" s="154"/>
    </row>
    <row r="35" spans="1:4" s="160" customFormat="1" ht="24" customHeight="1" x14ac:dyDescent="0.25">
      <c r="A35" s="157"/>
      <c r="B35" s="161" t="s">
        <v>38</v>
      </c>
      <c r="C35" s="158"/>
      <c r="D35" s="162" t="s">
        <v>179</v>
      </c>
    </row>
    <row r="36" spans="1:4" x14ac:dyDescent="0.25">
      <c r="B36" s="154"/>
    </row>
    <row r="37" spans="1:4" x14ac:dyDescent="0.25">
      <c r="B37" s="154"/>
    </row>
    <row r="38" spans="1:4" x14ac:dyDescent="0.25">
      <c r="B38" s="154"/>
    </row>
    <row r="39" spans="1:4" x14ac:dyDescent="0.25">
      <c r="B39" s="154"/>
    </row>
    <row r="40" spans="1:4" x14ac:dyDescent="0.25">
      <c r="B40" s="154"/>
    </row>
    <row r="41" spans="1:4" x14ac:dyDescent="0.25">
      <c r="B41" s="154"/>
    </row>
    <row r="42" spans="1:4" x14ac:dyDescent="0.25">
      <c r="B42" s="154"/>
    </row>
    <row r="43" spans="1:4" x14ac:dyDescent="0.25">
      <c r="B43" s="154"/>
    </row>
    <row r="44" spans="1:4" x14ac:dyDescent="0.25">
      <c r="B44" s="154"/>
    </row>
    <row r="45" spans="1:4" x14ac:dyDescent="0.25">
      <c r="B45" s="154"/>
    </row>
    <row r="76" spans="1:4" x14ac:dyDescent="0.2">
      <c r="A76" s="155"/>
      <c r="B76" s="156"/>
      <c r="C76" s="156"/>
      <c r="D76" s="156"/>
    </row>
    <row r="77" spans="1:4" s="156" customFormat="1" x14ac:dyDescent="0.2">
      <c r="A77" s="146"/>
      <c r="B77" s="147"/>
      <c r="C77" s="148"/>
      <c r="D77" s="147"/>
    </row>
  </sheetData>
  <sheetProtection algorithmName="SHA-512" hashValue="iM1StUjRGdsCL7rBPrER64wljvSY8LERhjr1AZjcLBiFzVOCG0j7j3crgKRGwWjZz7rfQbKAzE8rYR8vkl6GTA==" saltValue="aEynZEjdbR5UTtd4159fBA==" spinCount="100000" sheet="1" objects="1" scenarios="1"/>
  <printOptions horizontalCentered="1"/>
  <pageMargins left="0.25" right="0.25" top="0.75" bottom="0.75" header="0.3" footer="0.3"/>
  <pageSetup paperSize="8" scale="58"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0B8B3-F7EF-48CE-B4F2-BDC9CA24A592}">
  <sheetPr codeName="Sheet7">
    <tabColor rgb="FF151B25"/>
    <pageSetUpPr fitToPage="1"/>
  </sheetPr>
  <dimension ref="B1:AM28"/>
  <sheetViews>
    <sheetView zoomScaleNormal="100" zoomScaleSheetLayoutView="100" workbookViewId="0"/>
  </sheetViews>
  <sheetFormatPr defaultRowHeight="15" x14ac:dyDescent="0.25"/>
  <cols>
    <col min="1" max="1" width="1.7109375" style="15" customWidth="1"/>
    <col min="2" max="2" width="31.42578125" style="15" bestFit="1" customWidth="1"/>
    <col min="3" max="5" width="11.5703125" style="15" bestFit="1" customWidth="1"/>
    <col min="6" max="6" width="9.7109375" style="15" bestFit="1" customWidth="1"/>
    <col min="7" max="9" width="12" style="15" bestFit="1" customWidth="1"/>
    <col min="10" max="10" width="11.5703125" style="15" bestFit="1" customWidth="1"/>
    <col min="11" max="11" width="81.140625" style="15" bestFit="1" customWidth="1"/>
    <col min="12" max="12" width="3.140625" style="15" customWidth="1"/>
    <col min="13" max="13" width="6.85546875" style="15" customWidth="1"/>
    <col min="14" max="14" width="13.85546875" style="15" customWidth="1"/>
    <col min="15" max="15" width="11.5703125" style="15" bestFit="1" customWidth="1"/>
    <col min="16" max="17" width="9.7109375" style="15" bestFit="1" customWidth="1"/>
    <col min="18" max="19" width="11.5703125" style="15" bestFit="1" customWidth="1"/>
    <col min="20" max="20" width="81.140625" style="15" bestFit="1" customWidth="1"/>
    <col min="21" max="22" width="14.85546875" style="15" bestFit="1" customWidth="1"/>
    <col min="23" max="23" width="12.42578125" style="15" bestFit="1" customWidth="1"/>
    <col min="24" max="26" width="14.85546875" style="15" bestFit="1" customWidth="1"/>
    <col min="27" max="27" width="81.140625" style="15" bestFit="1" customWidth="1"/>
    <col min="28" max="29" width="5.140625" style="15" bestFit="1" customWidth="1"/>
    <col min="30" max="30" width="80" style="15" bestFit="1" customWidth="1"/>
    <col min="31" max="32" width="14.85546875" style="15" bestFit="1" customWidth="1"/>
    <col min="33" max="33" width="80" style="15" bestFit="1" customWidth="1"/>
    <col min="34" max="34" width="1.7109375" style="15" customWidth="1"/>
    <col min="35" max="35" width="81.140625" style="15" bestFit="1" customWidth="1"/>
    <col min="36" max="16384" width="9.140625" style="15"/>
  </cols>
  <sheetData>
    <row r="1" spans="2:39" s="109" customFormat="1" x14ac:dyDescent="0.25"/>
    <row r="2" spans="2:39" s="109" customFormat="1" ht="33.75" x14ac:dyDescent="0.5">
      <c r="B2" s="139" t="str">
        <f>'Customize Outputs'!D3</f>
        <v>Al Nafoud Road Interchange Overpass 01</v>
      </c>
      <c r="C2" s="132"/>
      <c r="D2" s="132"/>
      <c r="E2" s="132"/>
      <c r="F2" s="132"/>
      <c r="G2" s="132"/>
      <c r="H2" s="132"/>
      <c r="I2" s="132"/>
      <c r="J2" s="132"/>
      <c r="K2" s="132"/>
      <c r="L2" s="132"/>
      <c r="M2" s="132"/>
      <c r="N2" s="132"/>
      <c r="O2" s="132"/>
      <c r="P2" s="132"/>
      <c r="Q2" s="132"/>
      <c r="R2" s="132"/>
      <c r="S2" s="132"/>
      <c r="T2" s="132"/>
      <c r="V2" s="132"/>
      <c r="W2" s="132"/>
      <c r="X2" s="132"/>
      <c r="Y2" s="132"/>
      <c r="Z2" s="132"/>
      <c r="AA2" s="132"/>
      <c r="AB2" s="132"/>
      <c r="AC2" s="132"/>
      <c r="AD2" s="132"/>
      <c r="AE2" s="132"/>
      <c r="AF2" s="132"/>
      <c r="AG2" s="132"/>
      <c r="AH2" s="132"/>
      <c r="AI2" s="128"/>
      <c r="AJ2" s="128"/>
      <c r="AK2" s="128"/>
      <c r="AL2" s="128"/>
      <c r="AM2" s="128"/>
    </row>
    <row r="3" spans="2:39" s="109" customFormat="1" x14ac:dyDescent="0.25">
      <c r="B3" s="140" t="s">
        <v>155</v>
      </c>
      <c r="AI3" s="128"/>
      <c r="AJ3" s="128"/>
      <c r="AK3" s="128"/>
      <c r="AL3" s="128"/>
      <c r="AM3" s="128"/>
    </row>
    <row r="4" spans="2:39" s="109" customFormat="1" x14ac:dyDescent="0.25">
      <c r="B4" s="81"/>
      <c r="AI4" s="128"/>
      <c r="AJ4" s="128"/>
      <c r="AK4" s="128"/>
      <c r="AL4" s="128"/>
      <c r="AM4" s="128"/>
    </row>
    <row r="5" spans="2:39" x14ac:dyDescent="0.25">
      <c r="B5" s="142" t="s">
        <v>164</v>
      </c>
      <c r="C5" t="s">
        <v>18</v>
      </c>
      <c r="D5" t="s">
        <v>20</v>
      </c>
      <c r="E5" t="s">
        <v>21</v>
      </c>
      <c r="F5" t="s">
        <v>22</v>
      </c>
      <c r="G5" t="s">
        <v>51</v>
      </c>
      <c r="H5" t="s">
        <v>52</v>
      </c>
      <c r="I5" t="s">
        <v>298</v>
      </c>
      <c r="J5" t="s">
        <v>19</v>
      </c>
      <c r="K5" s="143" t="s">
        <v>38</v>
      </c>
    </row>
    <row r="6" spans="2:39" s="141" customFormat="1" x14ac:dyDescent="0.25">
      <c r="B6" s="170" t="s">
        <v>165</v>
      </c>
      <c r="C6" s="171" t="s">
        <v>36</v>
      </c>
      <c r="D6" s="171" t="s">
        <v>36</v>
      </c>
      <c r="E6" s="171" t="s">
        <v>36</v>
      </c>
      <c r="F6" s="171" t="s">
        <v>37</v>
      </c>
      <c r="G6" s="251" t="s">
        <v>37</v>
      </c>
      <c r="H6" s="251" t="s">
        <v>36</v>
      </c>
      <c r="I6" s="251" t="s">
        <v>36</v>
      </c>
      <c r="J6" s="171" t="s">
        <v>36</v>
      </c>
      <c r="K6" s="144" t="s">
        <v>87</v>
      </c>
    </row>
    <row r="7" spans="2:39" s="141" customFormat="1" x14ac:dyDescent="0.25">
      <c r="B7" s="170" t="s">
        <v>14</v>
      </c>
      <c r="C7" s="172">
        <v>953.63499999999999</v>
      </c>
      <c r="D7" s="172">
        <v>975.36900000000003</v>
      </c>
      <c r="E7" s="172">
        <v>999.07799999999997</v>
      </c>
      <c r="F7" s="172">
        <v>1026.739</v>
      </c>
      <c r="G7" s="251">
        <v>1048.472</v>
      </c>
      <c r="H7" s="251">
        <v>1076.133</v>
      </c>
      <c r="I7" s="251">
        <v>1099.8420000000001</v>
      </c>
      <c r="J7" s="172">
        <v>1121.575</v>
      </c>
      <c r="K7" s="144" t="s">
        <v>86</v>
      </c>
    </row>
    <row r="8" spans="2:39" s="141" customFormat="1" x14ac:dyDescent="0.25">
      <c r="B8" s="170" t="s">
        <v>24</v>
      </c>
      <c r="C8" s="172">
        <v>633.7305023515728</v>
      </c>
      <c r="D8" s="172">
        <v>633.839177847173</v>
      </c>
      <c r="E8" s="172">
        <v>633.95772884216649</v>
      </c>
      <c r="F8" s="172">
        <v>634.09604083645195</v>
      </c>
      <c r="G8" s="251">
        <v>634.20471133179933</v>
      </c>
      <c r="H8" s="251">
        <v>634.34302332608479</v>
      </c>
      <c r="I8" s="251">
        <v>634.46157432107816</v>
      </c>
      <c r="J8" s="172">
        <v>634.48860408159999</v>
      </c>
      <c r="K8" s="144" t="s">
        <v>86</v>
      </c>
    </row>
    <row r="9" spans="2:39" s="141" customFormat="1" ht="75" x14ac:dyDescent="0.25">
      <c r="B9" s="170" t="s">
        <v>31</v>
      </c>
      <c r="C9" s="172">
        <v>633.85250235157287</v>
      </c>
      <c r="D9" s="172">
        <v>633.96117784717308</v>
      </c>
      <c r="E9" s="172">
        <v>634.07972884216656</v>
      </c>
      <c r="F9" s="172">
        <v>634.21804083645202</v>
      </c>
      <c r="G9" s="172">
        <v>634.3267113317994</v>
      </c>
      <c r="H9" s="172">
        <v>634.46502332608486</v>
      </c>
      <c r="I9" s="172">
        <v>634.58357432107823</v>
      </c>
      <c r="J9" s="172">
        <v>634.61060408160006</v>
      </c>
      <c r="K9" s="144" t="s">
        <v>48</v>
      </c>
    </row>
    <row r="10" spans="2:39" s="141" customFormat="1" ht="75" x14ac:dyDescent="0.25">
      <c r="B10" s="170" t="s">
        <v>44</v>
      </c>
      <c r="C10" s="172">
        <v>631.95250235157289</v>
      </c>
      <c r="D10" s="172">
        <v>632.0611778471731</v>
      </c>
      <c r="E10" s="172">
        <v>632.17972884216658</v>
      </c>
      <c r="F10" s="172">
        <v>632.71804083645202</v>
      </c>
      <c r="G10" s="172">
        <v>632.8267113317994</v>
      </c>
      <c r="H10" s="172">
        <v>632.56502332608488</v>
      </c>
      <c r="I10" s="172">
        <v>632.68357432107825</v>
      </c>
      <c r="J10" s="172">
        <v>632.71060408160008</v>
      </c>
      <c r="K10" s="144" t="s">
        <v>89</v>
      </c>
    </row>
    <row r="11" spans="2:39" s="141" customFormat="1" x14ac:dyDescent="0.25">
      <c r="B11" s="170" t="s">
        <v>42</v>
      </c>
      <c r="C11" s="172">
        <v>625.84699999999998</v>
      </c>
      <c r="D11" s="172">
        <v>623.06100000000004</v>
      </c>
      <c r="E11" s="172">
        <v>623.17899999999997</v>
      </c>
      <c r="F11" s="172">
        <v>623.71799999999996</v>
      </c>
      <c r="G11" s="172">
        <v>623.82600000000002</v>
      </c>
      <c r="H11" s="172">
        <v>623.56500000000005</v>
      </c>
      <c r="I11" s="172">
        <v>623.68299999999999</v>
      </c>
      <c r="J11" s="172">
        <v>624.60599999999999</v>
      </c>
      <c r="K11" s="144" t="s">
        <v>88</v>
      </c>
    </row>
    <row r="12" spans="2:39" s="141" customFormat="1" ht="45" x14ac:dyDescent="0.25">
      <c r="B12" s="170" t="s">
        <v>46</v>
      </c>
      <c r="C12" s="172">
        <v>6.105502351572909</v>
      </c>
      <c r="D12" s="172">
        <v>9.0001778471730631</v>
      </c>
      <c r="E12" s="172">
        <v>9.000728842166609</v>
      </c>
      <c r="F12" s="172">
        <v>9.0000408364520581</v>
      </c>
      <c r="G12" s="172">
        <v>9.0007113317993799</v>
      </c>
      <c r="H12" s="172">
        <v>9.000023326084829</v>
      </c>
      <c r="I12" s="172">
        <v>9.0005743210782612</v>
      </c>
      <c r="J12" s="172">
        <v>8.1046040816000868</v>
      </c>
      <c r="K12" s="144" t="s">
        <v>49</v>
      </c>
    </row>
    <row r="13" spans="2:39" s="141" customFormat="1" x14ac:dyDescent="0.25">
      <c r="B13" s="170" t="s">
        <v>43</v>
      </c>
      <c r="C13" s="172">
        <v>6.1050000000000004</v>
      </c>
      <c r="D13" s="172">
        <v>9</v>
      </c>
      <c r="E13" s="172">
        <v>9</v>
      </c>
      <c r="F13" s="172">
        <v>9</v>
      </c>
      <c r="G13" s="172">
        <v>9</v>
      </c>
      <c r="H13" s="172">
        <v>9</v>
      </c>
      <c r="I13" s="172">
        <v>9</v>
      </c>
      <c r="J13" s="172">
        <v>8.1069999999999993</v>
      </c>
      <c r="K13" s="144" t="s">
        <v>87</v>
      </c>
    </row>
    <row r="14" spans="2:39" s="141" customFormat="1" ht="30" x14ac:dyDescent="0.25">
      <c r="B14" s="170" t="s">
        <v>41</v>
      </c>
      <c r="C14" s="172">
        <v>-5.0235157290856591E-4</v>
      </c>
      <c r="D14" s="172">
        <v>-1.7784717306312814E-4</v>
      </c>
      <c r="E14" s="172">
        <v>-7.2884216660895618E-4</v>
      </c>
      <c r="F14" s="172">
        <v>-4.0836452058101713E-5</v>
      </c>
      <c r="G14" s="172">
        <v>-7.1133179937987734E-4</v>
      </c>
      <c r="H14" s="172">
        <v>-2.3326084829022875E-5</v>
      </c>
      <c r="I14" s="172">
        <v>-5.7432107826116408E-4</v>
      </c>
      <c r="J14" s="172">
        <v>2.3959183999124889E-3</v>
      </c>
      <c r="K14" s="145" t="s">
        <v>45</v>
      </c>
    </row>
    <row r="16" spans="2:39" x14ac:dyDescent="0.25">
      <c r="B16" s="165" t="s">
        <v>40</v>
      </c>
    </row>
    <row r="17" spans="2:20" x14ac:dyDescent="0.25">
      <c r="B17" s="166" t="s">
        <v>180</v>
      </c>
      <c r="C17" s="164"/>
      <c r="D17" s="164"/>
      <c r="E17" s="164"/>
      <c r="F17" s="164"/>
      <c r="G17" s="164"/>
      <c r="H17" s="164"/>
      <c r="I17" s="164"/>
      <c r="J17" s="164"/>
      <c r="K17" s="164"/>
      <c r="L17" s="164"/>
      <c r="M17" s="164"/>
      <c r="N17" s="164"/>
      <c r="O17" s="164"/>
      <c r="P17" s="164"/>
      <c r="Q17" s="164"/>
      <c r="R17" s="164"/>
      <c r="S17" s="164"/>
      <c r="T17" s="164"/>
    </row>
    <row r="18" spans="2:20" x14ac:dyDescent="0.25">
      <c r="B18" s="166" t="s">
        <v>180</v>
      </c>
      <c r="C18" s="164"/>
      <c r="D18" s="164"/>
      <c r="E18" s="164"/>
      <c r="F18" s="164"/>
      <c r="G18" s="164"/>
      <c r="H18" s="164"/>
      <c r="I18" s="164"/>
      <c r="J18" s="164"/>
      <c r="K18" s="164"/>
      <c r="L18" s="164"/>
      <c r="M18" s="164"/>
      <c r="N18" s="164"/>
      <c r="O18" s="164"/>
      <c r="P18" s="164"/>
      <c r="Q18" s="164"/>
      <c r="R18" s="164"/>
      <c r="S18" s="164"/>
      <c r="T18" s="164"/>
    </row>
    <row r="19" spans="2:20" x14ac:dyDescent="0.25">
      <c r="B19" s="166" t="s">
        <v>180</v>
      </c>
    </row>
    <row r="20" spans="2:20" x14ac:dyDescent="0.25">
      <c r="B20" s="163"/>
    </row>
    <row r="24" spans="2:20" s="109" customFormat="1" x14ac:dyDescent="0.25">
      <c r="B24" s="133" t="s">
        <v>158</v>
      </c>
    </row>
    <row r="26" spans="2:20" x14ac:dyDescent="0.25">
      <c r="B26" s="109"/>
      <c r="C26" s="134" t="s">
        <v>55</v>
      </c>
      <c r="D26" s="135" t="s">
        <v>54</v>
      </c>
    </row>
    <row r="27" spans="2:20" x14ac:dyDescent="0.25">
      <c r="B27" s="137" t="s">
        <v>53</v>
      </c>
      <c r="C27" s="138">
        <v>0.03</v>
      </c>
      <c r="D27" s="136">
        <f>C27*-1</f>
        <v>-0.03</v>
      </c>
    </row>
    <row r="28" spans="2:20" x14ac:dyDescent="0.25">
      <c r="B28" s="137" t="s">
        <v>47</v>
      </c>
      <c r="C28" s="138">
        <f>C27+0.1*C27</f>
        <v>3.3000000000000002E-2</v>
      </c>
      <c r="D28" s="136"/>
    </row>
  </sheetData>
  <phoneticPr fontId="4" type="noConversion"/>
  <conditionalFormatting sqref="C14:J14 C28">
    <cfRule type="cellIs" dxfId="11" priority="1" operator="notBetween">
      <formula>$C$27</formula>
      <formula>$D$27</formula>
    </cfRule>
  </conditionalFormatting>
  <pageMargins left="0.25" right="0.25" top="0.75" bottom="0.75" header="0.3" footer="0.3"/>
  <pageSetup paperSize="8" scale="97" fitToHeight="0" orientation="landscape" r:id="rId1"/>
  <headerFooter>
    <oddFooter xml:space="preserve">&amp;L&amp;"Consolas,Regular"&amp;9&amp;K00-049Developed by Engr. Muhammad Bayoumi Ali | E-mail: muhammad.bayoumi.ali@gmail.com | LinkedIn: linkedin.com/in/muhammad-bayoumi-ali </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01552-B5B4-459C-8578-201E4B28B62A}">
  <sheetPr codeName="Sheet8">
    <tabColor theme="9"/>
    <pageSetUpPr fitToPage="1"/>
  </sheetPr>
  <dimension ref="A1:CX128"/>
  <sheetViews>
    <sheetView zoomScaleNormal="100" zoomScaleSheetLayoutView="100" workbookViewId="0"/>
  </sheetViews>
  <sheetFormatPr defaultColWidth="12.7109375" defaultRowHeight="15" x14ac:dyDescent="0.25"/>
  <cols>
    <col min="1" max="1" width="7.7109375" style="109" customWidth="1"/>
    <col min="2" max="6" width="27.7109375" style="109" customWidth="1"/>
    <col min="7" max="7" width="7.7109375" style="109" customWidth="1"/>
    <col min="8" max="8" width="17.140625" style="109" customWidth="1"/>
    <col min="9" max="9" width="30" style="109" customWidth="1"/>
    <col min="10" max="10" width="17.140625" style="109" customWidth="1"/>
    <col min="11" max="11" width="11" style="109" customWidth="1"/>
    <col min="12" max="12" width="10.42578125" style="109" customWidth="1"/>
    <col min="13" max="13" width="11" style="109" customWidth="1"/>
    <col min="14" max="14" width="11.5703125" style="109" customWidth="1"/>
    <col min="15" max="15" width="2.140625" style="109" customWidth="1"/>
    <col min="16" max="16" width="3.140625" style="109" customWidth="1"/>
    <col min="17" max="19" width="12.7109375" style="109"/>
    <col min="20" max="20" width="17.7109375" style="109" bestFit="1" customWidth="1"/>
    <col min="21" max="21" width="18.28515625" style="109" bestFit="1" customWidth="1"/>
    <col min="22" max="22" width="10.85546875" style="109" bestFit="1" customWidth="1"/>
    <col min="23" max="23" width="10.7109375" style="109" bestFit="1" customWidth="1"/>
    <col min="24" max="24" width="12.85546875" style="109" bestFit="1" customWidth="1"/>
    <col min="25" max="25" width="16.28515625" style="109" bestFit="1" customWidth="1"/>
    <col min="26" max="26" width="13.42578125" style="109" bestFit="1" customWidth="1"/>
    <col min="27" max="27" width="10.5703125" style="109" customWidth="1"/>
    <col min="28" max="16384" width="12.7109375" style="109"/>
  </cols>
  <sheetData>
    <row r="1" spans="1:16" s="110" customFormat="1" ht="8.25" customHeight="1" x14ac:dyDescent="0.25">
      <c r="A1" s="108"/>
      <c r="B1" s="108"/>
      <c r="C1" s="108"/>
      <c r="D1" s="109"/>
      <c r="E1" s="108"/>
      <c r="F1" s="108"/>
      <c r="G1" s="108"/>
      <c r="H1" s="108"/>
      <c r="I1" s="108"/>
      <c r="J1" s="108"/>
      <c r="K1" s="108"/>
      <c r="L1" s="108"/>
      <c r="M1" s="108"/>
      <c r="N1" s="108"/>
      <c r="O1" s="108"/>
      <c r="P1" s="108"/>
    </row>
    <row r="2" spans="1:16" x14ac:dyDescent="0.25">
      <c r="A2" s="108"/>
      <c r="B2" s="111" t="s">
        <v>34</v>
      </c>
      <c r="C2" s="112">
        <f ca="1">TODAY()</f>
        <v>45981</v>
      </c>
      <c r="D2" s="108"/>
      <c r="G2" s="108"/>
      <c r="H2" s="108"/>
      <c r="I2" s="108"/>
      <c r="J2" s="108"/>
      <c r="K2" s="108"/>
      <c r="L2" s="108"/>
      <c r="M2" s="108"/>
      <c r="N2" s="108"/>
      <c r="O2" s="108"/>
      <c r="P2" s="108"/>
    </row>
    <row r="3" spans="1:16" s="110" customFormat="1" ht="8.25" customHeight="1" x14ac:dyDescent="0.25">
      <c r="A3" s="108"/>
      <c r="B3" s="108"/>
      <c r="C3" s="108"/>
      <c r="D3" s="109"/>
      <c r="E3" s="108"/>
      <c r="F3" s="108"/>
      <c r="G3" s="108"/>
      <c r="H3" s="108"/>
      <c r="I3" s="108"/>
      <c r="J3" s="108"/>
      <c r="K3" s="108"/>
      <c r="L3" s="108"/>
      <c r="M3" s="108"/>
      <c r="N3" s="108"/>
      <c r="O3" s="108"/>
      <c r="P3" s="108"/>
    </row>
    <row r="4" spans="1:16" s="110" customFormat="1" ht="47.1" customHeight="1" x14ac:dyDescent="0.25">
      <c r="A4" s="108"/>
      <c r="B4" s="299" t="s">
        <v>181</v>
      </c>
      <c r="C4" s="300"/>
      <c r="D4" s="300"/>
      <c r="E4" s="300"/>
      <c r="F4" s="301"/>
      <c r="G4" s="108"/>
      <c r="H4" s="108"/>
      <c r="I4" s="108"/>
      <c r="J4" s="108"/>
      <c r="K4" s="108"/>
      <c r="L4" s="108"/>
      <c r="M4" s="108"/>
      <c r="N4" s="108"/>
      <c r="O4" s="108"/>
      <c r="P4" s="108"/>
    </row>
    <row r="5" spans="1:16" s="110" customFormat="1" ht="8.25" customHeight="1" x14ac:dyDescent="0.25">
      <c r="A5" s="108"/>
      <c r="B5" s="108"/>
      <c r="C5" s="108"/>
      <c r="D5" s="109"/>
      <c r="E5" s="108"/>
      <c r="F5" s="108"/>
      <c r="G5" s="108"/>
      <c r="H5" s="108"/>
      <c r="I5" s="108"/>
      <c r="J5" s="108"/>
      <c r="K5" s="108"/>
      <c r="L5" s="108"/>
      <c r="M5" s="108"/>
      <c r="N5" s="108"/>
      <c r="O5" s="108"/>
      <c r="P5" s="108"/>
    </row>
    <row r="6" spans="1:16" x14ac:dyDescent="0.25">
      <c r="A6" s="114"/>
      <c r="B6" s="319" t="s">
        <v>166</v>
      </c>
      <c r="C6" s="320"/>
      <c r="D6" s="320"/>
      <c r="E6" s="320"/>
      <c r="F6" s="320"/>
      <c r="G6" s="115"/>
      <c r="H6" s="115"/>
      <c r="I6" s="115"/>
      <c r="J6" s="115"/>
      <c r="K6" s="115"/>
      <c r="L6" s="115"/>
      <c r="M6" s="116"/>
      <c r="N6" s="114"/>
      <c r="O6" s="108"/>
      <c r="P6" s="114"/>
    </row>
    <row r="7" spans="1:16" s="15" customFormat="1" ht="9" customHeight="1" x14ac:dyDescent="0.25"/>
    <row r="8" spans="1:16" s="15" customFormat="1" ht="24" x14ac:dyDescent="0.25">
      <c r="B8" s="249" t="s">
        <v>220</v>
      </c>
      <c r="C8" s="249" t="s">
        <v>221</v>
      </c>
      <c r="D8" s="249" t="s">
        <v>222</v>
      </c>
      <c r="E8" s="249" t="s">
        <v>223</v>
      </c>
      <c r="F8" s="249" t="s">
        <v>219</v>
      </c>
    </row>
    <row r="9" spans="1:16" s="110" customFormat="1" ht="24" x14ac:dyDescent="0.25">
      <c r="A9" s="108"/>
      <c r="B9" s="87" t="s">
        <v>164</v>
      </c>
      <c r="C9" s="87" t="s">
        <v>14</v>
      </c>
      <c r="D9" s="87" t="s">
        <v>160</v>
      </c>
      <c r="E9" s="87" t="s">
        <v>161</v>
      </c>
      <c r="F9" s="87" t="s">
        <v>162</v>
      </c>
      <c r="G9" s="109"/>
      <c r="H9" s="109"/>
      <c r="I9" s="109"/>
      <c r="J9" s="109"/>
      <c r="K9" s="109"/>
      <c r="L9" s="109"/>
      <c r="M9" s="109"/>
      <c r="N9" s="109"/>
      <c r="O9" s="108"/>
      <c r="P9" s="108"/>
    </row>
    <row r="10" spans="1:16" s="110" customFormat="1" x14ac:dyDescent="0.25">
      <c r="A10" s="108"/>
      <c r="B10" s="252" t="s">
        <v>18</v>
      </c>
      <c r="C10" s="191">
        <f>IF(COORDINATE_DATA[[#This Row],[Axis]]="","",_xlfn.IFNA(VLOOKUP(COORDINATE_DATA[[#This Row],[Axis]],Level_Verification_Calculations[[Axis]:[Station]],MATCH(COORDINATE_DATA[[#Headers],[Station]],Level_Verification_Calculations[[#Headers],[Axis]:[Station]],0),FALSE), "Enter the axis name in the Substructure Data sheet"))</f>
        <v>953.63499999999999</v>
      </c>
      <c r="D10" s="131">
        <v>676509.34</v>
      </c>
      <c r="E10" s="130">
        <v>2705107.926</v>
      </c>
      <c r="F10" s="130">
        <v>27.472000000000001</v>
      </c>
      <c r="G10" s="109"/>
      <c r="H10" s="109"/>
      <c r="I10" s="109"/>
      <c r="J10" s="109"/>
      <c r="K10" s="109"/>
      <c r="L10" s="109"/>
      <c r="M10" s="109"/>
      <c r="N10" s="109"/>
      <c r="O10" s="108"/>
      <c r="P10" s="108"/>
    </row>
    <row r="11" spans="1:16" s="110" customFormat="1" x14ac:dyDescent="0.25">
      <c r="A11" s="108"/>
      <c r="B11" s="253" t="s">
        <v>20</v>
      </c>
      <c r="C11" s="192">
        <f>IF(COORDINATE_DATA[[#This Row],[Axis]]="","",_xlfn.IFNA(VLOOKUP(COORDINATE_DATA[[#This Row],[Axis]],Level_Verification_Calculations[[Axis]:[Station]],MATCH(COORDINATE_DATA[[#Headers],[Station]],Level_Verification_Calculations[[#Headers],[Axis]:[Station]],0),FALSE), "Enter the axis name in the Substructure Data sheet"))</f>
        <v>975.36900000000003</v>
      </c>
      <c r="D11" s="117">
        <v>676520.27800000005</v>
      </c>
      <c r="E11" s="117">
        <v>2705088.8450000002</v>
      </c>
      <c r="F11" s="117">
        <v>32.170999999999999</v>
      </c>
      <c r="G11" s="109"/>
      <c r="H11" s="109"/>
      <c r="I11" s="109"/>
      <c r="J11" s="109"/>
      <c r="K11" s="109"/>
      <c r="L11" s="109"/>
      <c r="M11" s="109"/>
      <c r="N11" s="109"/>
      <c r="O11" s="108"/>
      <c r="P11" s="108"/>
    </row>
    <row r="12" spans="1:16" s="110" customFormat="1" x14ac:dyDescent="0.25">
      <c r="A12" s="108"/>
      <c r="B12" s="253" t="s">
        <v>21</v>
      </c>
      <c r="C12" s="192">
        <f>IF(COORDINATE_DATA[[#This Row],[Axis]]="","",_xlfn.IFNA(VLOOKUP(COORDINATE_DATA[[#This Row],[Axis]],Level_Verification_Calculations[[Axis]:[Station]],MATCH(COORDINATE_DATA[[#Headers],[Station]],Level_Verification_Calculations[[#Headers],[Axis]:[Station]],0),FALSE), "Enter the axis name in the Substructure Data sheet"))</f>
        <v>999.07799999999997</v>
      </c>
      <c r="D12" s="117">
        <v>676533.94700000004</v>
      </c>
      <c r="E12" s="117">
        <v>2705069.128</v>
      </c>
      <c r="F12" s="117">
        <v>37.296999999999997</v>
      </c>
      <c r="G12" s="109"/>
      <c r="H12" s="109"/>
      <c r="I12" s="109"/>
      <c r="J12" s="109"/>
      <c r="K12" s="109"/>
      <c r="L12" s="109"/>
      <c r="M12" s="109"/>
      <c r="N12" s="109"/>
      <c r="O12" s="108"/>
      <c r="P12" s="108"/>
    </row>
    <row r="13" spans="1:16" s="110" customFormat="1" x14ac:dyDescent="0.25">
      <c r="A13" s="108"/>
      <c r="B13" s="253" t="s">
        <v>22</v>
      </c>
      <c r="C13" s="192">
        <f>IF(COORDINATE_DATA[[#This Row],[Axis]]="","",_xlfn.IFNA(VLOOKUP(COORDINATE_DATA[[#This Row],[Axis]],Level_Verification_Calculations[[Axis]:[Station]],MATCH(COORDINATE_DATA[[#Headers],[Station]],Level_Verification_Calculations[[#Headers],[Axis]:[Station]],0),FALSE), "Enter the axis name in the Substructure Data sheet"))</f>
        <v>1026.739</v>
      </c>
      <c r="D13" s="117">
        <v>676552.04399999999</v>
      </c>
      <c r="E13" s="117">
        <v>2705047.7790000001</v>
      </c>
      <c r="F13" s="117">
        <v>43.277000000000001</v>
      </c>
      <c r="G13" s="109"/>
      <c r="H13" s="109"/>
      <c r="I13" s="109"/>
      <c r="J13" s="109"/>
      <c r="K13" s="109"/>
      <c r="L13" s="109"/>
      <c r="M13" s="109"/>
      <c r="N13" s="109"/>
      <c r="O13" s="108"/>
      <c r="P13" s="108"/>
    </row>
    <row r="14" spans="1:16" s="110" customFormat="1" x14ac:dyDescent="0.25">
      <c r="A14" s="108"/>
      <c r="B14" s="253" t="s">
        <v>51</v>
      </c>
      <c r="C14" s="192">
        <f>IF(COORDINATE_DATA[[#This Row],[Axis]]="","",_xlfn.IFNA(VLOOKUP(COORDINATE_DATA[[#This Row],[Axis]],Level_Verification_Calculations[[Axis]:[Station]],MATCH(COORDINATE_DATA[[#Headers],[Station]],Level_Verification_Calculations[[#Headers],[Axis]:[Station]],0),FALSE), "Enter the axis name in the Substructure Data sheet"))</f>
        <v>1048.472</v>
      </c>
      <c r="D14" s="117">
        <v>676567.76599999995</v>
      </c>
      <c r="E14" s="117">
        <v>2705032.398</v>
      </c>
      <c r="F14" s="117">
        <v>47.975999999999999</v>
      </c>
      <c r="G14" s="109"/>
      <c r="H14" s="109"/>
      <c r="I14" s="109"/>
      <c r="J14" s="109"/>
      <c r="K14" s="109"/>
      <c r="L14" s="109"/>
      <c r="M14" s="109"/>
      <c r="N14" s="109"/>
      <c r="O14" s="108"/>
      <c r="P14" s="108"/>
    </row>
    <row r="15" spans="1:16" s="110" customFormat="1" x14ac:dyDescent="0.25">
      <c r="A15" s="108"/>
      <c r="B15" s="253" t="s">
        <v>52</v>
      </c>
      <c r="C15" s="192">
        <f>IF(COORDINATE_DATA[[#This Row],[Axis]]="","",_xlfn.IFNA(VLOOKUP(COORDINATE_DATA[[#This Row],[Axis]],Level_Verification_Calculations[[Axis]:[Station]],MATCH(COORDINATE_DATA[[#Headers],[Station]],Level_Verification_Calculations[[#Headers],[Axis]:[Station]],0),FALSE), "Enter the axis name in the Substructure Data sheet"))</f>
        <v>1076.133</v>
      </c>
      <c r="D15" s="117">
        <v>676589.50600000005</v>
      </c>
      <c r="E15" s="117">
        <v>2705014.7719999999</v>
      </c>
      <c r="F15" s="117">
        <v>53.957000000000001</v>
      </c>
      <c r="G15" s="109"/>
      <c r="H15" s="109"/>
      <c r="I15" s="109"/>
      <c r="J15" s="109"/>
      <c r="K15" s="109"/>
      <c r="L15" s="109"/>
      <c r="M15" s="109"/>
      <c r="N15" s="109"/>
      <c r="O15" s="108"/>
      <c r="P15" s="108"/>
    </row>
    <row r="16" spans="1:16" s="110" customFormat="1" x14ac:dyDescent="0.25">
      <c r="A16" s="108"/>
      <c r="B16" s="253" t="s">
        <v>298</v>
      </c>
      <c r="C16" s="192">
        <f>IF(COORDINATE_DATA[[#This Row],[Axis]]="","",_xlfn.IFNA(VLOOKUP(COORDINATE_DATA[[#This Row],[Axis]],Level_Verification_Calculations[[Axis]:[Station]],MATCH(COORDINATE_DATA[[#Headers],[Station]],Level_Verification_Calculations[[#Headers],[Axis]:[Station]],0),FALSE), "Enter the axis name in the Substructure Data sheet"))</f>
        <v>1099.8420000000001</v>
      </c>
      <c r="D16" s="117">
        <v>676609.51699999999</v>
      </c>
      <c r="E16" s="117">
        <v>2705001.537</v>
      </c>
      <c r="F16" s="117">
        <v>59.082999999999998</v>
      </c>
      <c r="G16" s="109"/>
      <c r="H16" s="109"/>
      <c r="I16" s="109"/>
      <c r="J16" s="109"/>
      <c r="K16" s="109"/>
      <c r="L16" s="109"/>
      <c r="M16" s="109"/>
      <c r="N16" s="109"/>
      <c r="O16" s="108"/>
      <c r="P16" s="108"/>
    </row>
    <row r="17" spans="1:16" s="110" customFormat="1" x14ac:dyDescent="0.25">
      <c r="A17" s="108"/>
      <c r="B17" s="253" t="s">
        <v>19</v>
      </c>
      <c r="C17" s="192">
        <f>IF(COORDINATE_DATA[[#This Row],[Axis]]="","",_xlfn.IFNA(VLOOKUP(COORDINATE_DATA[[#This Row],[Axis]],Level_Verification_Calculations[[Axis]:[Station]],MATCH(COORDINATE_DATA[[#Headers],[Station]],Level_Verification_Calculations[[#Headers],[Axis]:[Station]],0),FALSE), "Enter the axis name in the Substructure Data sheet"))</f>
        <v>1121.575</v>
      </c>
      <c r="D17" s="117">
        <v>676628.83299999998</v>
      </c>
      <c r="E17" s="117">
        <v>2704991.02</v>
      </c>
      <c r="F17" s="117">
        <v>63.79</v>
      </c>
      <c r="G17" s="109"/>
      <c r="H17" s="109"/>
      <c r="I17" s="109"/>
      <c r="J17" s="109"/>
      <c r="K17" s="109"/>
      <c r="L17" s="109"/>
      <c r="M17" s="109"/>
      <c r="N17" s="109"/>
      <c r="O17" s="108"/>
      <c r="P17" s="108"/>
    </row>
    <row r="18" spans="1:16" s="110" customFormat="1" x14ac:dyDescent="0.25">
      <c r="A18" s="108"/>
      <c r="B18" s="253" t="s">
        <v>184</v>
      </c>
      <c r="C18" s="192">
        <f>IF(COORDINATE_DATA[[#This Row],[Axis]]="","",_xlfn.IFNA(VLOOKUP(COORDINATE_DATA[[#This Row],[Axis]],Level_Verification_Calculations[[Axis]:[Station]],MATCH(COORDINATE_DATA[[#Headers],[Station]],Level_Verification_Calculations[[#Headers],[Axis]:[Station]],0),FALSE), "Enter the axis name in the Substructure Data sheet"))</f>
        <v>964.50199999999995</v>
      </c>
      <c r="D18" s="117">
        <v>676514.61300000001</v>
      </c>
      <c r="E18" s="117">
        <v>2705098.273</v>
      </c>
      <c r="F18" s="117">
        <v>29.821000000000002</v>
      </c>
      <c r="G18" s="109"/>
      <c r="H18" s="109"/>
      <c r="I18" s="109"/>
      <c r="J18" s="109"/>
      <c r="K18" s="109"/>
      <c r="L18" s="109"/>
      <c r="M18" s="109"/>
      <c r="N18" s="109"/>
      <c r="O18" s="108"/>
      <c r="P18" s="108"/>
    </row>
    <row r="19" spans="1:16" s="110" customFormat="1" x14ac:dyDescent="0.25">
      <c r="A19" s="108"/>
      <c r="B19" s="253" t="s">
        <v>185</v>
      </c>
      <c r="C19" s="192">
        <f>IF(COORDINATE_DATA[[#This Row],[Axis]]="","",_xlfn.IFNA(VLOOKUP(COORDINATE_DATA[[#This Row],[Axis]],Level_Verification_Calculations[[Axis]:[Station]],MATCH(COORDINATE_DATA[[#Headers],[Station]],Level_Verification_Calculations[[#Headers],[Axis]:[Station]],0),FALSE), "Enter the axis name in the Substructure Data sheet"))</f>
        <v>987.22299999999996</v>
      </c>
      <c r="D19" s="117">
        <v>676526.89199999999</v>
      </c>
      <c r="E19" s="117">
        <v>2705078.8330000001</v>
      </c>
      <c r="F19" s="117">
        <v>34.734000000000002</v>
      </c>
      <c r="G19" s="109"/>
      <c r="H19" s="109"/>
      <c r="I19" s="109"/>
      <c r="J19" s="109"/>
      <c r="K19" s="109"/>
      <c r="L19" s="109"/>
      <c r="M19" s="109"/>
      <c r="N19" s="109"/>
      <c r="O19" s="108"/>
      <c r="P19" s="108"/>
    </row>
    <row r="20" spans="1:16" s="110" customFormat="1" x14ac:dyDescent="0.25">
      <c r="A20" s="108"/>
      <c r="B20" s="253" t="s">
        <v>186</v>
      </c>
      <c r="C20" s="192">
        <f>IF(COORDINATE_DATA[[#This Row],[Axis]]="","",_xlfn.IFNA(VLOOKUP(COORDINATE_DATA[[#This Row],[Axis]],Level_Verification_Calculations[[Axis]:[Station]],MATCH(COORDINATE_DATA[[#Headers],[Station]],Level_Verification_Calculations[[#Headers],[Axis]:[Station]],0),FALSE), "Enter the axis name in the Substructure Data sheet"))</f>
        <v>1012.908</v>
      </c>
      <c r="D20" s="117">
        <v>676542.71699999995</v>
      </c>
      <c r="E20" s="117">
        <v>2705058.2170000002</v>
      </c>
      <c r="F20" s="117">
        <v>40.286999999999999</v>
      </c>
      <c r="G20" s="109"/>
      <c r="H20" s="109"/>
      <c r="I20" s="109"/>
      <c r="J20" s="109"/>
      <c r="K20" s="109"/>
      <c r="L20" s="109"/>
      <c r="M20" s="109"/>
      <c r="N20" s="109"/>
      <c r="O20" s="108"/>
      <c r="P20" s="108"/>
    </row>
    <row r="21" spans="1:16" s="110" customFormat="1" x14ac:dyDescent="0.25">
      <c r="A21" s="108"/>
      <c r="B21" s="253" t="s">
        <v>187</v>
      </c>
      <c r="C21" s="192">
        <f>IF(COORDINATE_DATA[[#This Row],[Axis]]="","",_xlfn.IFNA(VLOOKUP(COORDINATE_DATA[[#This Row],[Axis]],Level_Verification_Calculations[[Axis]:[Station]],MATCH(COORDINATE_DATA[[#Headers],[Station]],Level_Verification_Calculations[[#Headers],[Axis]:[Station]],0),FALSE), "Enter the axis name in the Substructure Data sheet"))</f>
        <v>1037.605</v>
      </c>
      <c r="D21" s="117">
        <v>676559.74699999997</v>
      </c>
      <c r="E21" s="117">
        <v>2705039.9270000001</v>
      </c>
      <c r="F21" s="117">
        <v>45.627000000000002</v>
      </c>
      <c r="G21" s="109"/>
      <c r="H21" s="109"/>
      <c r="I21" s="109"/>
      <c r="J21" s="109"/>
      <c r="K21" s="109"/>
      <c r="L21" s="109"/>
      <c r="M21" s="109"/>
      <c r="N21" s="109"/>
      <c r="O21" s="108"/>
      <c r="P21" s="108"/>
    </row>
    <row r="22" spans="1:16" s="110" customFormat="1" x14ac:dyDescent="0.25">
      <c r="A22" s="108"/>
      <c r="B22" s="253" t="s">
        <v>299</v>
      </c>
      <c r="C22" s="192">
        <f>IF(COORDINATE_DATA[[#This Row],[Axis]]="","",_xlfn.IFNA(VLOOKUP(COORDINATE_DATA[[#This Row],[Axis]],Level_Verification_Calculations[[Axis]:[Station]],MATCH(COORDINATE_DATA[[#Headers],[Station]],Level_Verification_Calculations[[#Headers],[Axis]:[Station]],0),FALSE), "Enter the axis name in the Substructure Data sheet"))</f>
        <v>1062.3030000000001</v>
      </c>
      <c r="D22" s="117">
        <v>676578.40599999996</v>
      </c>
      <c r="E22" s="117">
        <v>2705023.301</v>
      </c>
      <c r="F22" s="117">
        <v>50.966999999999999</v>
      </c>
      <c r="G22" s="109"/>
      <c r="H22" s="109"/>
      <c r="I22" s="109"/>
      <c r="J22" s="109"/>
      <c r="K22" s="109"/>
      <c r="L22" s="109"/>
      <c r="M22" s="109"/>
      <c r="N22" s="109"/>
      <c r="O22" s="108"/>
      <c r="P22" s="108"/>
    </row>
    <row r="23" spans="1:16" s="110" customFormat="1" x14ac:dyDescent="0.25">
      <c r="A23" s="108"/>
      <c r="B23" s="253" t="s">
        <v>300</v>
      </c>
      <c r="C23" s="192">
        <f>IF(COORDINATE_DATA[[#This Row],[Axis]]="","",_xlfn.IFNA(VLOOKUP(COORDINATE_DATA[[#This Row],[Axis]],Level_Verification_Calculations[[Axis]:[Station]],MATCH(COORDINATE_DATA[[#Headers],[Station]],Level_Verification_Calculations[[#Headers],[Axis]:[Station]],0),FALSE), "Enter the axis name in the Substructure Data sheet"))</f>
        <v>1087.9880000000001</v>
      </c>
      <c r="D23" s="117">
        <v>676599.36300000001</v>
      </c>
      <c r="E23" s="117">
        <v>2705007.9309999999</v>
      </c>
      <c r="F23" s="117">
        <v>56.52</v>
      </c>
      <c r="G23" s="109"/>
      <c r="H23" s="109"/>
      <c r="I23" s="109"/>
      <c r="J23" s="109"/>
      <c r="K23" s="109"/>
      <c r="L23" s="109"/>
      <c r="M23" s="109"/>
      <c r="N23" s="109"/>
      <c r="O23" s="108"/>
      <c r="P23" s="108"/>
    </row>
    <row r="24" spans="1:16" s="110" customFormat="1" x14ac:dyDescent="0.25">
      <c r="A24" s="108"/>
      <c r="B24" s="253" t="s">
        <v>301</v>
      </c>
      <c r="C24" s="192">
        <f>IF(COORDINATE_DATA[[#This Row],[Axis]]="","",_xlfn.IFNA(VLOOKUP(COORDINATE_DATA[[#This Row],[Axis]],Level_Verification_Calculations[[Axis]:[Station]],MATCH(COORDINATE_DATA[[#Headers],[Station]],Level_Verification_Calculations[[#Headers],[Axis]:[Station]],0),FALSE), "Enter the axis name in the Substructure Data sheet"))</f>
        <v>1110.7090000000001</v>
      </c>
      <c r="D24" s="117">
        <v>676628.83299999998</v>
      </c>
      <c r="E24" s="117">
        <v>2704991.02</v>
      </c>
      <c r="F24" s="117">
        <v>61.433</v>
      </c>
      <c r="G24" s="109"/>
      <c r="H24" s="109"/>
      <c r="I24" s="109"/>
      <c r="J24" s="109"/>
      <c r="K24" s="109"/>
      <c r="L24" s="109"/>
      <c r="M24" s="109"/>
      <c r="N24" s="109"/>
      <c r="O24" s="108"/>
      <c r="P24" s="108"/>
    </row>
    <row r="25" spans="1:16" s="110" customFormat="1" x14ac:dyDescent="0.25">
      <c r="A25" s="108"/>
      <c r="B25" s="253" t="s">
        <v>188</v>
      </c>
      <c r="C25" s="192">
        <f>IF(COORDINATE_DATA[[#This Row],[Axis]]="","",_xlfn.IFNA(VLOOKUP(COORDINATE_DATA[[#This Row],[Axis]],Level_Verification_Calculations[[Axis]:[Station]],MATCH(COORDINATE_DATA[[#Headers],[Station]],Level_Verification_Calculations[[#Headers],[Axis]:[Station]],0),FALSE), "Enter the axis name in the Substructure Data sheet"))</f>
        <v>952.84500000000003</v>
      </c>
      <c r="D25" s="117">
        <v>676508.97100000002</v>
      </c>
      <c r="E25" s="117">
        <v>2705108.6359999999</v>
      </c>
      <c r="F25" s="117">
        <v>27.466000000000001</v>
      </c>
      <c r="G25" s="109"/>
      <c r="H25" s="109"/>
      <c r="I25" s="109"/>
      <c r="J25" s="109"/>
      <c r="K25" s="109"/>
      <c r="L25" s="109"/>
      <c r="M25" s="109"/>
      <c r="N25" s="109"/>
      <c r="O25" s="108"/>
      <c r="P25" s="108"/>
    </row>
    <row r="26" spans="1:16" s="110" customFormat="1" x14ac:dyDescent="0.25">
      <c r="A26" s="108"/>
      <c r="B26" s="253" t="s">
        <v>189</v>
      </c>
      <c r="C26" s="192">
        <f>IF(COORDINATE_DATA[[#This Row],[Axis]]="","",_xlfn.IFNA(VLOOKUP(COORDINATE_DATA[[#This Row],[Axis]],Level_Verification_Calculations[[Axis]:[Station]],MATCH(COORDINATE_DATA[[#Headers],[Station]],Level_Verification_Calculations[[#Headers],[Axis]:[Station]],0),FALSE), "Enter the axis name in the Substructure Data sheet"))</f>
        <v>1122.366</v>
      </c>
      <c r="D26" s="117">
        <v>676629.55099999998</v>
      </c>
      <c r="E26" s="117">
        <v>2704990.6680000001</v>
      </c>
      <c r="F26" s="117">
        <v>63.79</v>
      </c>
      <c r="G26" s="109"/>
      <c r="H26" s="109"/>
      <c r="I26" s="109"/>
      <c r="J26" s="109"/>
      <c r="K26" s="109"/>
      <c r="L26" s="109"/>
      <c r="M26" s="109"/>
      <c r="N26" s="109"/>
      <c r="O26" s="108"/>
      <c r="P26" s="108"/>
    </row>
    <row r="27" spans="1:16" s="110" customFormat="1" x14ac:dyDescent="0.25">
      <c r="A27" s="108"/>
      <c r="B27" s="253"/>
      <c r="C27" s="192" t="str">
        <f>IF(COORDINATE_DATA[[#This Row],[Axis]]="","",_xlfn.IFNA(VLOOKUP(COORDINATE_DATA[[#This Row],[Axis]],Level_Verification_Calculations[[Axis]:[Station]],MATCH(COORDINATE_DATA[[#Headers],[Station]],Level_Verification_Calculations[[#Headers],[Axis]:[Station]],0),FALSE), "Enter the axis name in the Substructure Data sheet"))</f>
        <v/>
      </c>
      <c r="D27" s="117"/>
      <c r="E27" s="117"/>
      <c r="F27" s="117"/>
      <c r="G27" s="109"/>
      <c r="H27" s="109"/>
      <c r="I27" s="109"/>
      <c r="J27" s="109"/>
      <c r="K27" s="109"/>
      <c r="L27" s="109"/>
      <c r="M27" s="109"/>
      <c r="N27" s="109"/>
      <c r="O27" s="108"/>
      <c r="P27" s="108"/>
    </row>
    <row r="28" spans="1:16" s="110" customFormat="1" x14ac:dyDescent="0.25">
      <c r="A28" s="108"/>
      <c r="B28" s="253"/>
      <c r="C28" s="192" t="str">
        <f>IF(COORDINATE_DATA[[#This Row],[Axis]]="","",_xlfn.IFNA(VLOOKUP(COORDINATE_DATA[[#This Row],[Axis]],Level_Verification_Calculations[[Axis]:[Station]],MATCH(COORDINATE_DATA[[#Headers],[Station]],Level_Verification_Calculations[[#Headers],[Axis]:[Station]],0),FALSE), "Enter the axis name in the Substructure Data sheet"))</f>
        <v/>
      </c>
      <c r="D28" s="117"/>
      <c r="E28" s="117"/>
      <c r="F28" s="117"/>
      <c r="G28" s="109"/>
      <c r="H28" s="109"/>
      <c r="I28" s="109"/>
      <c r="J28" s="109"/>
      <c r="K28" s="109"/>
      <c r="L28" s="109"/>
      <c r="M28" s="109"/>
      <c r="N28" s="109"/>
      <c r="O28" s="108"/>
      <c r="P28" s="108"/>
    </row>
    <row r="29" spans="1:16" s="110" customFormat="1" x14ac:dyDescent="0.25">
      <c r="A29" s="108"/>
      <c r="B29" s="253"/>
      <c r="C29" s="192" t="str">
        <f>IF(COORDINATE_DATA[[#This Row],[Axis]]="","",_xlfn.IFNA(VLOOKUP(COORDINATE_DATA[[#This Row],[Axis]],Level_Verification_Calculations[[Axis]:[Station]],MATCH(COORDINATE_DATA[[#Headers],[Station]],Level_Verification_Calculations[[#Headers],[Axis]:[Station]],0),FALSE), "Enter the axis name in the Substructure Data sheet"))</f>
        <v/>
      </c>
      <c r="D29" s="117"/>
      <c r="E29" s="117"/>
      <c r="F29" s="117"/>
      <c r="G29" s="109"/>
      <c r="H29" s="109"/>
      <c r="I29" s="109"/>
      <c r="J29" s="109"/>
      <c r="K29" s="109"/>
      <c r="L29" s="109"/>
      <c r="M29" s="109"/>
      <c r="N29" s="109"/>
      <c r="O29" s="108"/>
      <c r="P29" s="108"/>
    </row>
    <row r="30" spans="1:16" s="110" customFormat="1" x14ac:dyDescent="0.25">
      <c r="A30" s="108"/>
      <c r="B30" s="253"/>
      <c r="C30" s="192" t="str">
        <f>IF(COORDINATE_DATA[[#This Row],[Axis]]="","",_xlfn.IFNA(VLOOKUP(COORDINATE_DATA[[#This Row],[Axis]],Level_Verification_Calculations[[Axis]:[Station]],MATCH(COORDINATE_DATA[[#Headers],[Station]],Level_Verification_Calculations[[#Headers],[Axis]:[Station]],0),FALSE), "Enter the axis name in the Substructure Data sheet"))</f>
        <v/>
      </c>
      <c r="D30" s="117"/>
      <c r="E30" s="117"/>
      <c r="F30" s="117"/>
      <c r="G30" s="109"/>
      <c r="H30" s="109"/>
      <c r="I30" s="109"/>
      <c r="J30" s="109"/>
      <c r="K30" s="109"/>
      <c r="L30" s="109"/>
      <c r="M30" s="109"/>
      <c r="N30" s="109"/>
      <c r="O30" s="108"/>
      <c r="P30" s="108"/>
    </row>
    <row r="31" spans="1:16" s="110" customFormat="1" x14ac:dyDescent="0.25">
      <c r="A31" s="108"/>
      <c r="B31" s="253"/>
      <c r="C31" s="192" t="str">
        <f>IF(COORDINATE_DATA[[#This Row],[Axis]]="","",_xlfn.IFNA(VLOOKUP(COORDINATE_DATA[[#This Row],[Axis]],Level_Verification_Calculations[[Axis]:[Station]],MATCH(COORDINATE_DATA[[#Headers],[Station]],Level_Verification_Calculations[[#Headers],[Axis]:[Station]],0),FALSE), "Enter the axis name in the Substructure Data sheet"))</f>
        <v/>
      </c>
      <c r="D31" s="117"/>
      <c r="E31" s="117"/>
      <c r="F31" s="117"/>
      <c r="G31" s="109"/>
      <c r="H31" s="109"/>
      <c r="I31" s="109"/>
      <c r="J31" s="109"/>
      <c r="K31" s="109"/>
      <c r="L31" s="109"/>
      <c r="M31" s="109"/>
      <c r="N31" s="109"/>
      <c r="O31" s="108"/>
      <c r="P31" s="108"/>
    </row>
    <row r="32" spans="1:16" s="110" customFormat="1" x14ac:dyDescent="0.25">
      <c r="A32" s="108"/>
      <c r="B32" s="253"/>
      <c r="C32" s="192" t="str">
        <f>IF(COORDINATE_DATA[[#This Row],[Axis]]="","",_xlfn.IFNA(VLOOKUP(COORDINATE_DATA[[#This Row],[Axis]],Level_Verification_Calculations[[Axis]:[Station]],MATCH(COORDINATE_DATA[[#Headers],[Station]],Level_Verification_Calculations[[#Headers],[Axis]:[Station]],0),FALSE), "Enter the axis name in the Substructure Data sheet"))</f>
        <v/>
      </c>
      <c r="D32" s="117"/>
      <c r="E32" s="117"/>
      <c r="F32" s="117"/>
      <c r="G32" s="109"/>
      <c r="H32" s="109"/>
      <c r="I32" s="109"/>
      <c r="J32" s="109"/>
      <c r="K32" s="109"/>
      <c r="L32" s="109"/>
      <c r="M32" s="109"/>
      <c r="N32" s="109"/>
      <c r="O32" s="108"/>
      <c r="P32" s="108"/>
    </row>
    <row r="33" spans="1:16" s="110" customFormat="1" x14ac:dyDescent="0.25">
      <c r="A33" s="108"/>
      <c r="B33" s="253"/>
      <c r="C33" s="192" t="str">
        <f>IF(COORDINATE_DATA[[#This Row],[Axis]]="","",_xlfn.IFNA(VLOOKUP(COORDINATE_DATA[[#This Row],[Axis]],Level_Verification_Calculations[[Axis]:[Station]],MATCH(COORDINATE_DATA[[#Headers],[Station]],Level_Verification_Calculations[[#Headers],[Axis]:[Station]],0),FALSE), "Enter the axis name in the Substructure Data sheet"))</f>
        <v/>
      </c>
      <c r="D33" s="117"/>
      <c r="E33" s="117"/>
      <c r="F33" s="117"/>
      <c r="G33" s="109"/>
      <c r="H33" s="109"/>
      <c r="I33" s="109"/>
      <c r="J33" s="109"/>
      <c r="K33" s="109"/>
      <c r="L33" s="109"/>
      <c r="M33" s="109"/>
      <c r="N33" s="109"/>
      <c r="O33" s="108"/>
      <c r="P33" s="108"/>
    </row>
    <row r="34" spans="1:16" s="110" customFormat="1" x14ac:dyDescent="0.25">
      <c r="A34" s="108"/>
      <c r="B34" s="253"/>
      <c r="C34" s="192" t="str">
        <f>IF(COORDINATE_DATA[[#This Row],[Axis]]="","",_xlfn.IFNA(VLOOKUP(COORDINATE_DATA[[#This Row],[Axis]],Level_Verification_Calculations[[Axis]:[Station]],MATCH(COORDINATE_DATA[[#Headers],[Station]],Level_Verification_Calculations[[#Headers],[Axis]:[Station]],0),FALSE), "Enter the axis name in the Substructure Data sheet"))</f>
        <v/>
      </c>
      <c r="D34" s="117"/>
      <c r="E34" s="117"/>
      <c r="F34" s="117"/>
      <c r="G34" s="109"/>
      <c r="H34" s="109"/>
      <c r="I34" s="109"/>
      <c r="J34" s="109"/>
      <c r="K34" s="109"/>
      <c r="L34" s="109"/>
      <c r="M34" s="109"/>
      <c r="N34" s="109"/>
      <c r="O34" s="108"/>
      <c r="P34" s="108"/>
    </row>
    <row r="35" spans="1:16" s="110" customFormat="1" x14ac:dyDescent="0.25">
      <c r="A35" s="108"/>
      <c r="B35" s="253"/>
      <c r="C35" s="192" t="str">
        <f>IF(COORDINATE_DATA[[#This Row],[Axis]]="","",_xlfn.IFNA(VLOOKUP(COORDINATE_DATA[[#This Row],[Axis]],Level_Verification_Calculations[[Axis]:[Station]],MATCH(COORDINATE_DATA[[#Headers],[Station]],Level_Verification_Calculations[[#Headers],[Axis]:[Station]],0),FALSE), "Enter the axis name in the Substructure Data sheet"))</f>
        <v/>
      </c>
      <c r="D35" s="117"/>
      <c r="E35" s="117"/>
      <c r="F35" s="117"/>
      <c r="G35" s="109"/>
      <c r="H35" s="109"/>
      <c r="I35" s="109"/>
      <c r="J35" s="109"/>
      <c r="K35" s="109"/>
      <c r="L35" s="109"/>
      <c r="M35" s="109"/>
      <c r="N35" s="109"/>
      <c r="O35" s="108"/>
      <c r="P35" s="108"/>
    </row>
    <row r="36" spans="1:16" s="110" customFormat="1" x14ac:dyDescent="0.25">
      <c r="A36" s="108"/>
      <c r="B36" s="253"/>
      <c r="C36" s="192" t="str">
        <f>IF(COORDINATE_DATA[[#This Row],[Axis]]="","",_xlfn.IFNA(VLOOKUP(COORDINATE_DATA[[#This Row],[Axis]],Level_Verification_Calculations[[Axis]:[Station]],MATCH(COORDINATE_DATA[[#Headers],[Station]],Level_Verification_Calculations[[#Headers],[Axis]:[Station]],0),FALSE), "Enter the axis name in the Substructure Data sheet"))</f>
        <v/>
      </c>
      <c r="D36" s="117"/>
      <c r="E36" s="117"/>
      <c r="F36" s="117"/>
      <c r="G36" s="109"/>
      <c r="H36" s="109"/>
      <c r="I36" s="109"/>
      <c r="J36" s="109"/>
      <c r="K36" s="109"/>
      <c r="L36" s="109"/>
      <c r="M36" s="109"/>
      <c r="N36" s="109"/>
      <c r="O36" s="108"/>
      <c r="P36" s="108"/>
    </row>
    <row r="37" spans="1:16" s="110" customFormat="1" x14ac:dyDescent="0.25">
      <c r="A37" s="108"/>
      <c r="B37" s="253"/>
      <c r="C37" s="192" t="str">
        <f>IF(COORDINATE_DATA[[#This Row],[Axis]]="","",_xlfn.IFNA(VLOOKUP(COORDINATE_DATA[[#This Row],[Axis]],Level_Verification_Calculations[[Axis]:[Station]],MATCH(COORDINATE_DATA[[#Headers],[Station]],Level_Verification_Calculations[[#Headers],[Axis]:[Station]],0),FALSE), "Enter the axis name in the Substructure Data sheet"))</f>
        <v/>
      </c>
      <c r="D37" s="117"/>
      <c r="E37" s="117"/>
      <c r="F37" s="117"/>
      <c r="G37" s="108"/>
      <c r="H37" s="108"/>
      <c r="I37" s="108"/>
      <c r="J37" s="108"/>
      <c r="K37" s="108"/>
      <c r="L37" s="108"/>
      <c r="M37" s="109"/>
      <c r="N37" s="108"/>
      <c r="O37" s="108"/>
      <c r="P37" s="108"/>
    </row>
    <row r="38" spans="1:16" s="110" customFormat="1" x14ac:dyDescent="0.25">
      <c r="A38" s="108"/>
      <c r="B38" s="253"/>
      <c r="C38" s="192" t="str">
        <f>IF(COORDINATE_DATA[[#This Row],[Axis]]="","",_xlfn.IFNA(VLOOKUP(COORDINATE_DATA[[#This Row],[Axis]],Level_Verification_Calculations[[Axis]:[Station]],MATCH(COORDINATE_DATA[[#Headers],[Station]],Level_Verification_Calculations[[#Headers],[Axis]:[Station]],0),FALSE), "Enter the axis name in the Substructure Data sheet"))</f>
        <v/>
      </c>
      <c r="D38" s="117"/>
      <c r="E38" s="117"/>
      <c r="F38" s="117"/>
      <c r="G38" s="108"/>
      <c r="H38" s="108"/>
      <c r="I38" s="108"/>
      <c r="J38" s="108"/>
      <c r="K38" s="108"/>
      <c r="L38" s="108"/>
      <c r="M38" s="109"/>
      <c r="N38" s="108"/>
      <c r="O38" s="108"/>
      <c r="P38" s="108"/>
    </row>
    <row r="39" spans="1:16" s="110" customFormat="1" x14ac:dyDescent="0.25">
      <c r="A39" s="108"/>
      <c r="B39" s="253"/>
      <c r="C39" s="192" t="str">
        <f>IF(COORDINATE_DATA[[#This Row],[Axis]]="","",_xlfn.IFNA(VLOOKUP(COORDINATE_DATA[[#This Row],[Axis]],Level_Verification_Calculations[[Axis]:[Station]],MATCH(COORDINATE_DATA[[#Headers],[Station]],Level_Verification_Calculations[[#Headers],[Axis]:[Station]],0),FALSE), "Enter the axis name in the Substructure Data sheet"))</f>
        <v/>
      </c>
      <c r="D39" s="117"/>
      <c r="E39" s="117"/>
      <c r="F39" s="117"/>
      <c r="G39" s="108"/>
      <c r="H39" s="108"/>
      <c r="I39" s="108"/>
      <c r="J39" s="108"/>
      <c r="K39" s="108"/>
      <c r="L39" s="108"/>
      <c r="M39" s="109"/>
      <c r="N39" s="108"/>
      <c r="O39" s="108"/>
      <c r="P39" s="108"/>
    </row>
    <row r="40" spans="1:16" s="110" customFormat="1" x14ac:dyDescent="0.25">
      <c r="A40" s="108"/>
      <c r="B40" s="253"/>
      <c r="C40" s="192" t="str">
        <f>IF(COORDINATE_DATA[[#This Row],[Axis]]="","",_xlfn.IFNA(VLOOKUP(COORDINATE_DATA[[#This Row],[Axis]],Level_Verification_Calculations[[Axis]:[Station]],MATCH(COORDINATE_DATA[[#Headers],[Station]],Level_Verification_Calculations[[#Headers],[Axis]:[Station]],0),FALSE), "Enter the axis name in the Substructure Data sheet"))</f>
        <v/>
      </c>
      <c r="D40" s="117"/>
      <c r="E40" s="117"/>
      <c r="F40" s="117"/>
      <c r="G40" s="108"/>
      <c r="H40" s="108"/>
      <c r="I40" s="108"/>
      <c r="J40" s="108"/>
      <c r="K40" s="108"/>
      <c r="L40" s="108"/>
      <c r="M40" s="109"/>
      <c r="N40" s="108"/>
      <c r="O40" s="108"/>
      <c r="P40" s="108"/>
    </row>
    <row r="41" spans="1:16" s="110" customFormat="1" x14ac:dyDescent="0.25">
      <c r="A41" s="108"/>
      <c r="B41" s="253"/>
      <c r="C41" s="192" t="str">
        <f>IF(COORDINATE_DATA[[#This Row],[Axis]]="","",_xlfn.IFNA(VLOOKUP(COORDINATE_DATA[[#This Row],[Axis]],Level_Verification_Calculations[[Axis]:[Station]],MATCH(COORDINATE_DATA[[#Headers],[Station]],Level_Verification_Calculations[[#Headers],[Axis]:[Station]],0),FALSE), "Enter the axis name in the Substructure Data sheet"))</f>
        <v/>
      </c>
      <c r="D41" s="117"/>
      <c r="E41" s="117"/>
      <c r="F41" s="117"/>
      <c r="G41" s="108"/>
      <c r="H41" s="108"/>
      <c r="I41" s="108"/>
      <c r="J41" s="108"/>
      <c r="K41" s="108"/>
      <c r="L41" s="108"/>
      <c r="M41" s="109"/>
      <c r="N41" s="108"/>
      <c r="O41" s="108"/>
      <c r="P41" s="108"/>
    </row>
    <row r="42" spans="1:16" s="110" customFormat="1" x14ac:dyDescent="0.25">
      <c r="A42" s="108"/>
      <c r="B42" s="253"/>
      <c r="C42" s="192" t="str">
        <f>IF(COORDINATE_DATA[[#This Row],[Axis]]="","",_xlfn.IFNA(VLOOKUP(COORDINATE_DATA[[#This Row],[Axis]],Level_Verification_Calculations[[Axis]:[Station]],MATCH(COORDINATE_DATA[[#Headers],[Station]],Level_Verification_Calculations[[#Headers],[Axis]:[Station]],0),FALSE), "Enter the axis name in the Substructure Data sheet"))</f>
        <v/>
      </c>
      <c r="D42" s="117"/>
      <c r="E42" s="117"/>
      <c r="F42" s="117"/>
      <c r="G42" s="108"/>
      <c r="H42" s="108"/>
      <c r="I42" s="108"/>
      <c r="J42" s="108"/>
      <c r="K42" s="108"/>
      <c r="L42" s="108"/>
      <c r="M42" s="109"/>
      <c r="N42" s="108"/>
      <c r="O42" s="108"/>
      <c r="P42" s="108"/>
    </row>
    <row r="43" spans="1:16" s="110" customFormat="1" x14ac:dyDescent="0.25">
      <c r="A43" s="108"/>
      <c r="B43" s="253"/>
      <c r="C43" s="192" t="str">
        <f>IF(COORDINATE_DATA[[#This Row],[Axis]]="","",_xlfn.IFNA(VLOOKUP(COORDINATE_DATA[[#This Row],[Axis]],Level_Verification_Calculations[[Axis]:[Station]],MATCH(COORDINATE_DATA[[#Headers],[Station]],Level_Verification_Calculations[[#Headers],[Axis]:[Station]],0),FALSE), "Enter the axis name in the Substructure Data sheet"))</f>
        <v/>
      </c>
      <c r="D43" s="117"/>
      <c r="E43" s="117"/>
      <c r="F43" s="117"/>
      <c r="G43" s="108"/>
      <c r="H43" s="108"/>
      <c r="I43" s="108"/>
      <c r="J43" s="108"/>
      <c r="K43" s="108"/>
      <c r="L43" s="108"/>
      <c r="M43" s="109"/>
      <c r="N43" s="108"/>
      <c r="O43" s="108"/>
      <c r="P43" s="108"/>
    </row>
    <row r="44" spans="1:16" s="110" customFormat="1" x14ac:dyDescent="0.25">
      <c r="A44" s="108"/>
      <c r="B44" s="253"/>
      <c r="C44" s="192" t="str">
        <f>IF(COORDINATE_DATA[[#This Row],[Axis]]="","",_xlfn.IFNA(VLOOKUP(COORDINATE_DATA[[#This Row],[Axis]],Level_Verification_Calculations[[Axis]:[Station]],MATCH(COORDINATE_DATA[[#Headers],[Station]],Level_Verification_Calculations[[#Headers],[Axis]:[Station]],0),FALSE), "Enter the axis name in the Substructure Data sheet"))</f>
        <v/>
      </c>
      <c r="D44" s="117"/>
      <c r="E44" s="117"/>
      <c r="F44" s="117"/>
      <c r="G44" s="108"/>
      <c r="H44" s="108"/>
      <c r="I44" s="108"/>
      <c r="J44" s="108"/>
      <c r="K44" s="108"/>
      <c r="L44" s="108"/>
      <c r="M44" s="109"/>
      <c r="N44" s="108"/>
      <c r="O44" s="108"/>
      <c r="P44" s="108"/>
    </row>
    <row r="45" spans="1:16" s="110" customFormat="1" x14ac:dyDescent="0.25">
      <c r="A45" s="108"/>
      <c r="B45" s="253"/>
      <c r="C45" s="192" t="str">
        <f>IF(COORDINATE_DATA[[#This Row],[Axis]]="","",_xlfn.IFNA(VLOOKUP(COORDINATE_DATA[[#This Row],[Axis]],Level_Verification_Calculations[[Axis]:[Station]],MATCH(COORDINATE_DATA[[#Headers],[Station]],Level_Verification_Calculations[[#Headers],[Axis]:[Station]],0),FALSE), "Enter the axis name in the Substructure Data sheet"))</f>
        <v/>
      </c>
      <c r="D45" s="117"/>
      <c r="E45" s="117"/>
      <c r="F45" s="117"/>
      <c r="G45" s="108"/>
      <c r="H45" s="108"/>
      <c r="I45" s="108"/>
      <c r="J45" s="108"/>
      <c r="K45" s="108"/>
      <c r="L45" s="108"/>
      <c r="M45" s="109"/>
      <c r="N45" s="108"/>
      <c r="O45" s="108"/>
      <c r="P45" s="108"/>
    </row>
    <row r="46" spans="1:16" s="110" customFormat="1" x14ac:dyDescent="0.25">
      <c r="A46" s="108"/>
      <c r="B46" s="253"/>
      <c r="C46" s="192" t="str">
        <f>IF(COORDINATE_DATA[[#This Row],[Axis]]="","",_xlfn.IFNA(VLOOKUP(COORDINATE_DATA[[#This Row],[Axis]],Level_Verification_Calculations[[Axis]:[Station]],MATCH(COORDINATE_DATA[[#Headers],[Station]],Level_Verification_Calculations[[#Headers],[Axis]:[Station]],0),FALSE), "Enter the axis name in the Substructure Data sheet"))</f>
        <v/>
      </c>
      <c r="D46" s="117"/>
      <c r="E46" s="117"/>
      <c r="F46" s="117"/>
      <c r="G46" s="114"/>
      <c r="H46" s="114"/>
      <c r="I46" s="114"/>
      <c r="J46" s="114"/>
      <c r="K46" s="114"/>
      <c r="L46" s="114"/>
      <c r="M46" s="109"/>
      <c r="N46" s="114"/>
      <c r="O46" s="108"/>
      <c r="P46" s="114"/>
    </row>
    <row r="47" spans="1:16" s="110" customFormat="1" x14ac:dyDescent="0.25">
      <c r="A47" s="108"/>
      <c r="B47" s="253"/>
      <c r="C47" s="192" t="str">
        <f>IF(COORDINATE_DATA[[#This Row],[Axis]]="","",_xlfn.IFNA(VLOOKUP(COORDINATE_DATA[[#This Row],[Axis]],Level_Verification_Calculations[[Axis]:[Station]],MATCH(COORDINATE_DATA[[#Headers],[Station]],Level_Verification_Calculations[[#Headers],[Axis]:[Station]],0),FALSE), "Enter the axis name in the Substructure Data sheet"))</f>
        <v/>
      </c>
      <c r="D47" s="117"/>
      <c r="E47" s="117"/>
      <c r="F47" s="117"/>
      <c r="G47" s="108"/>
      <c r="H47" s="108"/>
      <c r="I47" s="108"/>
      <c r="J47" s="108"/>
      <c r="K47" s="108"/>
      <c r="L47" s="108"/>
      <c r="M47" s="109"/>
      <c r="N47" s="108"/>
      <c r="O47" s="108"/>
      <c r="P47" s="108"/>
    </row>
    <row r="48" spans="1:16" s="110" customFormat="1" x14ac:dyDescent="0.25">
      <c r="A48" s="108"/>
      <c r="B48" s="253"/>
      <c r="C48" s="192" t="str">
        <f>IF(COORDINATE_DATA[[#This Row],[Axis]]="","",_xlfn.IFNA(VLOOKUP(COORDINATE_DATA[[#This Row],[Axis]],Level_Verification_Calculations[[Axis]:[Station]],MATCH(COORDINATE_DATA[[#Headers],[Station]],Level_Verification_Calculations[[#Headers],[Axis]:[Station]],0),FALSE), "Enter the axis name in the Substructure Data sheet"))</f>
        <v/>
      </c>
      <c r="D48" s="117"/>
      <c r="E48" s="117"/>
      <c r="F48" s="117"/>
      <c r="G48" s="108"/>
      <c r="H48" s="108"/>
      <c r="I48" s="108"/>
      <c r="J48" s="108"/>
      <c r="K48" s="108"/>
      <c r="L48" s="108"/>
      <c r="M48" s="109"/>
      <c r="N48" s="108"/>
      <c r="O48" s="108"/>
      <c r="P48" s="108"/>
    </row>
    <row r="49" spans="1:16" s="110" customFormat="1" x14ac:dyDescent="0.25">
      <c r="A49" s="108"/>
      <c r="B49" s="253"/>
      <c r="C49" s="192" t="str">
        <f>IF(COORDINATE_DATA[[#This Row],[Axis]]="","",_xlfn.IFNA(VLOOKUP(COORDINATE_DATA[[#This Row],[Axis]],Level_Verification_Calculations[[Axis]:[Station]],MATCH(COORDINATE_DATA[[#Headers],[Station]],Level_Verification_Calculations[[#Headers],[Axis]:[Station]],0),FALSE), "Enter the axis name in the Substructure Data sheet"))</f>
        <v/>
      </c>
      <c r="D49" s="117"/>
      <c r="E49" s="117"/>
      <c r="F49" s="117"/>
      <c r="G49" s="108"/>
      <c r="H49" s="108"/>
      <c r="I49" s="108"/>
      <c r="J49" s="108"/>
      <c r="K49" s="108"/>
      <c r="L49" s="108"/>
      <c r="M49" s="109"/>
      <c r="N49" s="108"/>
      <c r="O49" s="108"/>
      <c r="P49" s="108"/>
    </row>
    <row r="50" spans="1:16" s="110" customFormat="1" x14ac:dyDescent="0.25">
      <c r="A50" s="108"/>
      <c r="B50" s="253"/>
      <c r="C50" s="192" t="str">
        <f>IF(COORDINATE_DATA[[#This Row],[Axis]]="","",_xlfn.IFNA(VLOOKUP(COORDINATE_DATA[[#This Row],[Axis]],Level_Verification_Calculations[[Axis]:[Station]],MATCH(COORDINATE_DATA[[#Headers],[Station]],Level_Verification_Calculations[[#Headers],[Axis]:[Station]],0),FALSE), "Enter the axis name in the Substructure Data sheet"))</f>
        <v/>
      </c>
      <c r="D50" s="117"/>
      <c r="E50" s="117"/>
      <c r="F50" s="117"/>
      <c r="G50" s="108"/>
      <c r="H50" s="108"/>
      <c r="I50" s="108"/>
      <c r="J50" s="108"/>
      <c r="K50" s="108"/>
      <c r="L50" s="108"/>
      <c r="M50" s="109"/>
      <c r="N50" s="108"/>
      <c r="O50" s="108"/>
      <c r="P50" s="108"/>
    </row>
    <row r="51" spans="1:16" s="110" customFormat="1" x14ac:dyDescent="0.25">
      <c r="A51" s="108"/>
      <c r="B51" s="253"/>
      <c r="C51" s="192" t="str">
        <f>IF(COORDINATE_DATA[[#This Row],[Axis]]="","",_xlfn.IFNA(VLOOKUP(COORDINATE_DATA[[#This Row],[Axis]],Level_Verification_Calculations[[Axis]:[Station]],MATCH(COORDINATE_DATA[[#Headers],[Station]],Level_Verification_Calculations[[#Headers],[Axis]:[Station]],0),FALSE), "Enter the axis name in the Substructure Data sheet"))</f>
        <v/>
      </c>
      <c r="D51" s="117"/>
      <c r="E51" s="117"/>
      <c r="F51" s="117"/>
      <c r="G51" s="108"/>
      <c r="H51" s="108"/>
      <c r="I51" s="108"/>
      <c r="J51" s="108"/>
      <c r="K51" s="108"/>
      <c r="L51" s="108"/>
      <c r="M51" s="109"/>
      <c r="N51" s="108"/>
      <c r="O51" s="108"/>
      <c r="P51" s="108"/>
    </row>
    <row r="52" spans="1:16" s="110" customFormat="1" x14ac:dyDescent="0.25">
      <c r="A52" s="108"/>
      <c r="B52" s="253"/>
      <c r="C52" s="192" t="str">
        <f>IF(COORDINATE_DATA[[#This Row],[Axis]]="","",_xlfn.IFNA(VLOOKUP(COORDINATE_DATA[[#This Row],[Axis]],Level_Verification_Calculations[[Axis]:[Station]],MATCH(COORDINATE_DATA[[#Headers],[Station]],Level_Verification_Calculations[[#Headers],[Axis]:[Station]],0),FALSE), "Enter the axis name in the Substructure Data sheet"))</f>
        <v/>
      </c>
      <c r="D52" s="117"/>
      <c r="E52" s="117"/>
      <c r="F52" s="117"/>
      <c r="G52" s="108"/>
      <c r="H52" s="108"/>
      <c r="I52" s="108"/>
      <c r="J52" s="108"/>
      <c r="K52" s="108"/>
      <c r="L52" s="108"/>
      <c r="M52" s="109"/>
      <c r="N52" s="108"/>
      <c r="O52" s="108"/>
      <c r="P52" s="108"/>
    </row>
    <row r="53" spans="1:16" s="110" customFormat="1" x14ac:dyDescent="0.25">
      <c r="A53" s="108"/>
      <c r="B53" s="253"/>
      <c r="C53" s="192" t="str">
        <f>IF(COORDINATE_DATA[[#This Row],[Axis]]="","",_xlfn.IFNA(VLOOKUP(COORDINATE_DATA[[#This Row],[Axis]],Level_Verification_Calculations[[Axis]:[Station]],MATCH(COORDINATE_DATA[[#Headers],[Station]],Level_Verification_Calculations[[#Headers],[Axis]:[Station]],0),FALSE), "Enter the axis name in the Substructure Data sheet"))</f>
        <v/>
      </c>
      <c r="D53" s="117"/>
      <c r="E53" s="117"/>
      <c r="F53" s="117"/>
      <c r="G53" s="108"/>
      <c r="H53" s="108"/>
      <c r="I53" s="108"/>
      <c r="J53" s="108"/>
      <c r="K53" s="108"/>
      <c r="L53" s="108"/>
      <c r="M53" s="109"/>
      <c r="N53" s="108"/>
      <c r="O53" s="108"/>
      <c r="P53" s="108"/>
    </row>
    <row r="54" spans="1:16" s="110" customFormat="1" x14ac:dyDescent="0.25">
      <c r="A54" s="108"/>
      <c r="B54" s="253"/>
      <c r="C54" s="192" t="str">
        <f>IF(COORDINATE_DATA[[#This Row],[Axis]]="","",_xlfn.IFNA(VLOOKUP(COORDINATE_DATA[[#This Row],[Axis]],Level_Verification_Calculations[[Axis]:[Station]],MATCH(COORDINATE_DATA[[#Headers],[Station]],Level_Verification_Calculations[[#Headers],[Axis]:[Station]],0),FALSE), "Enter the axis name in the Substructure Data sheet"))</f>
        <v/>
      </c>
      <c r="D54" s="117"/>
      <c r="E54" s="117"/>
      <c r="F54" s="117"/>
      <c r="G54" s="108"/>
      <c r="H54" s="108"/>
      <c r="I54" s="108"/>
      <c r="J54" s="108"/>
      <c r="K54" s="108"/>
      <c r="L54" s="108"/>
      <c r="M54" s="109"/>
      <c r="N54" s="108"/>
      <c r="O54" s="108"/>
      <c r="P54" s="108"/>
    </row>
    <row r="55" spans="1:16" s="110" customFormat="1" x14ac:dyDescent="0.25">
      <c r="A55" s="108"/>
      <c r="B55" s="253"/>
      <c r="C55" s="192" t="str">
        <f>IF(COORDINATE_DATA[[#This Row],[Axis]]="","",_xlfn.IFNA(VLOOKUP(COORDINATE_DATA[[#This Row],[Axis]],Level_Verification_Calculations[[Axis]:[Station]],MATCH(COORDINATE_DATA[[#Headers],[Station]],Level_Verification_Calculations[[#Headers],[Axis]:[Station]],0),FALSE), "Enter the axis name in the Substructure Data sheet"))</f>
        <v/>
      </c>
      <c r="D55" s="117"/>
      <c r="E55" s="117"/>
      <c r="F55" s="117"/>
      <c r="G55" s="108"/>
      <c r="H55" s="108"/>
      <c r="I55" s="108"/>
      <c r="J55" s="108"/>
      <c r="K55" s="108"/>
      <c r="L55" s="108"/>
      <c r="M55" s="109"/>
      <c r="N55" s="108"/>
      <c r="O55" s="108"/>
      <c r="P55" s="108"/>
    </row>
    <row r="56" spans="1:16" s="110" customFormat="1" x14ac:dyDescent="0.25">
      <c r="A56" s="108"/>
      <c r="B56" s="253"/>
      <c r="C56" s="192" t="str">
        <f>IF(COORDINATE_DATA[[#This Row],[Axis]]="","",_xlfn.IFNA(VLOOKUP(COORDINATE_DATA[[#This Row],[Axis]],Level_Verification_Calculations[[Axis]:[Station]],MATCH(COORDINATE_DATA[[#Headers],[Station]],Level_Verification_Calculations[[#Headers],[Axis]:[Station]],0),FALSE), "Enter the axis name in the Substructure Data sheet"))</f>
        <v/>
      </c>
      <c r="D56" s="117"/>
      <c r="E56" s="117"/>
      <c r="F56" s="117"/>
      <c r="G56" s="108"/>
      <c r="H56" s="108"/>
      <c r="I56" s="108"/>
      <c r="J56" s="108"/>
      <c r="K56" s="108"/>
      <c r="L56" s="108"/>
      <c r="M56" s="109"/>
      <c r="N56" s="108"/>
      <c r="O56" s="108"/>
      <c r="P56" s="108"/>
    </row>
    <row r="57" spans="1:16" s="110" customFormat="1" x14ac:dyDescent="0.25">
      <c r="A57" s="108"/>
      <c r="B57" s="253"/>
      <c r="C57" s="192" t="str">
        <f>IF(COORDINATE_DATA[[#This Row],[Axis]]="","",_xlfn.IFNA(VLOOKUP(COORDINATE_DATA[[#This Row],[Axis]],Level_Verification_Calculations[[Axis]:[Station]],MATCH(COORDINATE_DATA[[#Headers],[Station]],Level_Verification_Calculations[[#Headers],[Axis]:[Station]],0),FALSE), "Enter the axis name in the Substructure Data sheet"))</f>
        <v/>
      </c>
      <c r="D57" s="117"/>
      <c r="E57" s="117"/>
      <c r="F57" s="117"/>
      <c r="G57" s="108"/>
      <c r="H57" s="108"/>
      <c r="I57" s="108"/>
      <c r="J57" s="108"/>
      <c r="K57" s="108"/>
      <c r="L57" s="108"/>
      <c r="M57" s="109"/>
      <c r="N57" s="108"/>
      <c r="O57" s="108"/>
      <c r="P57" s="108"/>
    </row>
    <row r="58" spans="1:16" s="110" customFormat="1" x14ac:dyDescent="0.25">
      <c r="A58" s="108"/>
      <c r="B58" s="253"/>
      <c r="C58" s="192" t="str">
        <f>IF(COORDINATE_DATA[[#This Row],[Axis]]="","",_xlfn.IFNA(VLOOKUP(COORDINATE_DATA[[#This Row],[Axis]],Level_Verification_Calculations[[Axis]:[Station]],MATCH(COORDINATE_DATA[[#Headers],[Station]],Level_Verification_Calculations[[#Headers],[Axis]:[Station]],0),FALSE), "Enter the axis name in the Substructure Data sheet"))</f>
        <v/>
      </c>
      <c r="D58" s="117"/>
      <c r="E58" s="117"/>
      <c r="F58" s="117"/>
      <c r="G58" s="108"/>
      <c r="H58" s="108"/>
      <c r="I58" s="108"/>
      <c r="J58" s="108"/>
      <c r="K58" s="108"/>
      <c r="L58" s="108"/>
      <c r="M58" s="109"/>
      <c r="N58" s="108"/>
      <c r="O58" s="108"/>
      <c r="P58" s="108"/>
    </row>
    <row r="59" spans="1:16" s="110" customFormat="1" x14ac:dyDescent="0.25">
      <c r="A59" s="108"/>
      <c r="B59" s="253"/>
      <c r="C59" s="192" t="str">
        <f>IF(COORDINATE_DATA[[#This Row],[Axis]]="","",_xlfn.IFNA(VLOOKUP(COORDINATE_DATA[[#This Row],[Axis]],Level_Verification_Calculations[[Axis]:[Station]],MATCH(COORDINATE_DATA[[#Headers],[Station]],Level_Verification_Calculations[[#Headers],[Axis]:[Station]],0),FALSE), "Enter the axis name in the Substructure Data sheet"))</f>
        <v/>
      </c>
      <c r="D59" s="117"/>
      <c r="E59" s="117"/>
      <c r="F59" s="117"/>
      <c r="G59" s="108"/>
      <c r="H59" s="108"/>
      <c r="I59" s="108"/>
      <c r="J59" s="108"/>
      <c r="K59" s="108"/>
      <c r="L59" s="108"/>
      <c r="M59" s="109"/>
      <c r="N59" s="108"/>
      <c r="O59" s="108"/>
      <c r="P59" s="108"/>
    </row>
    <row r="60" spans="1:16" x14ac:dyDescent="0.25">
      <c r="A60" s="108"/>
      <c r="B60" s="108"/>
      <c r="C60" s="108"/>
      <c r="E60" s="108"/>
      <c r="F60" s="108"/>
      <c r="G60" s="108"/>
      <c r="H60" s="108"/>
      <c r="I60" s="108"/>
      <c r="J60" s="108"/>
      <c r="K60" s="108"/>
      <c r="L60" s="108"/>
      <c r="N60" s="108"/>
      <c r="O60" s="108"/>
      <c r="P60" s="108"/>
    </row>
    <row r="61" spans="1:16" x14ac:dyDescent="0.25">
      <c r="A61" s="108"/>
      <c r="B61" s="108"/>
      <c r="G61" s="108"/>
      <c r="H61" s="108"/>
      <c r="I61" s="108"/>
      <c r="J61" s="108"/>
      <c r="K61" s="108"/>
      <c r="L61" s="108"/>
      <c r="N61" s="108"/>
      <c r="O61" s="108"/>
      <c r="P61" s="108"/>
    </row>
    <row r="62" spans="1:16" x14ac:dyDescent="0.25">
      <c r="A62" s="108"/>
      <c r="B62" s="108"/>
      <c r="C62" s="108"/>
      <c r="E62" s="108"/>
      <c r="F62" s="108"/>
      <c r="G62" s="108"/>
      <c r="H62" s="108"/>
      <c r="I62" s="108"/>
      <c r="J62" s="108"/>
      <c r="K62" s="108"/>
      <c r="L62" s="108"/>
      <c r="N62" s="108"/>
      <c r="O62" s="108"/>
      <c r="P62" s="108"/>
    </row>
    <row r="63" spans="1:16" x14ac:dyDescent="0.25">
      <c r="A63" s="108"/>
      <c r="B63" s="108"/>
      <c r="C63" s="108"/>
      <c r="E63" s="108"/>
      <c r="F63" s="108"/>
      <c r="G63" s="108"/>
      <c r="H63" s="108"/>
      <c r="I63" s="108"/>
      <c r="J63" s="108"/>
      <c r="K63" s="108"/>
      <c r="L63" s="108"/>
      <c r="N63" s="108"/>
      <c r="O63" s="108"/>
      <c r="P63" s="108"/>
    </row>
    <row r="64" spans="1:16" x14ac:dyDescent="0.25">
      <c r="A64" s="108"/>
      <c r="B64" s="108"/>
      <c r="C64" s="108"/>
      <c r="E64" s="108"/>
      <c r="F64" s="108"/>
      <c r="G64" s="108"/>
      <c r="H64" s="108"/>
      <c r="I64" s="108"/>
      <c r="J64" s="108"/>
      <c r="K64" s="108"/>
      <c r="L64" s="108"/>
      <c r="N64" s="108"/>
      <c r="O64" s="108"/>
      <c r="P64" s="108"/>
    </row>
    <row r="65" spans="1:102" x14ac:dyDescent="0.25">
      <c r="A65" s="108"/>
      <c r="B65" s="108"/>
      <c r="C65" s="108"/>
      <c r="E65" s="108"/>
      <c r="F65" s="108"/>
      <c r="G65" s="108"/>
      <c r="H65" s="108"/>
      <c r="I65" s="108"/>
      <c r="J65" s="108"/>
      <c r="K65" s="108"/>
      <c r="L65" s="108"/>
      <c r="N65" s="108"/>
      <c r="O65" s="108"/>
      <c r="P65" s="108"/>
    </row>
    <row r="66" spans="1:102" s="59" customFormat="1" x14ac:dyDescent="0.25">
      <c r="A66" s="82"/>
      <c r="B66" s="82"/>
      <c r="C66" s="82"/>
      <c r="D66" s="82"/>
      <c r="E66" s="82"/>
      <c r="F66" s="82"/>
      <c r="G66" s="82"/>
      <c r="H66" s="82"/>
      <c r="I66" s="82"/>
      <c r="J66" s="82"/>
      <c r="K66" s="82"/>
      <c r="L66" s="82"/>
      <c r="M66" s="82"/>
      <c r="N66" s="82"/>
      <c r="O66" s="82"/>
      <c r="P66" s="82"/>
      <c r="Q66" s="82"/>
      <c r="Y66" s="129"/>
      <c r="Z66" s="129"/>
      <c r="AA66" s="129"/>
      <c r="AB66" s="129"/>
      <c r="AC66" s="129"/>
      <c r="AD66" s="129"/>
      <c r="AE66" s="129"/>
      <c r="AF66" s="129"/>
      <c r="AG66" s="129"/>
      <c r="AH66" s="129"/>
      <c r="AI66" s="129"/>
      <c r="AJ66" s="129"/>
      <c r="AK66" s="129"/>
      <c r="AL66" s="129"/>
      <c r="AM66" s="129"/>
      <c r="AN66" s="129"/>
      <c r="AO66" s="129"/>
      <c r="AP66" s="129"/>
      <c r="AQ66" s="129"/>
      <c r="AR66" s="129"/>
      <c r="AS66" s="129"/>
      <c r="AT66" s="129"/>
      <c r="AU66" s="129"/>
      <c r="AV66" s="129"/>
      <c r="AW66" s="129"/>
      <c r="AX66" s="129"/>
      <c r="BY66" s="82"/>
      <c r="BZ66" s="82"/>
      <c r="CA66" s="82"/>
      <c r="CB66" s="82"/>
      <c r="CC66" s="82"/>
      <c r="CD66" s="82"/>
      <c r="CE66" s="82"/>
      <c r="CF66" s="82"/>
      <c r="CG66" s="82"/>
      <c r="CH66" s="82"/>
      <c r="CI66" s="82"/>
      <c r="CJ66" s="82"/>
      <c r="CK66" s="82"/>
      <c r="CL66" s="82"/>
      <c r="CM66" s="82"/>
      <c r="CN66" s="82"/>
      <c r="CO66" s="82"/>
      <c r="CP66" s="82"/>
      <c r="CQ66" s="82"/>
      <c r="CR66" s="82"/>
      <c r="CS66" s="82"/>
      <c r="CT66" s="82"/>
      <c r="CU66" s="82"/>
      <c r="CV66" s="82"/>
      <c r="CW66" s="82"/>
      <c r="CX66" s="82"/>
    </row>
    <row r="67" spans="1:102" x14ac:dyDescent="0.25">
      <c r="A67" s="108"/>
      <c r="B67" s="108"/>
      <c r="C67" s="108"/>
      <c r="E67" s="108"/>
      <c r="F67" s="108"/>
      <c r="G67" s="108"/>
      <c r="H67" s="108"/>
      <c r="I67" s="108"/>
      <c r="J67" s="108"/>
      <c r="K67" s="108"/>
      <c r="L67" s="108"/>
      <c r="M67" s="108"/>
      <c r="N67" s="108"/>
      <c r="O67" s="108"/>
      <c r="P67" s="108"/>
    </row>
    <row r="68" spans="1:102" x14ac:dyDescent="0.25">
      <c r="A68" s="108"/>
      <c r="B68" s="108"/>
      <c r="C68" s="108"/>
      <c r="E68" s="108"/>
      <c r="F68" s="108"/>
      <c r="G68" s="108"/>
      <c r="H68" s="108"/>
      <c r="I68" s="108"/>
      <c r="J68" s="108"/>
      <c r="K68" s="108"/>
      <c r="L68" s="108"/>
      <c r="M68" s="108"/>
      <c r="N68" s="108"/>
      <c r="O68" s="108"/>
      <c r="P68" s="108"/>
    </row>
    <row r="69" spans="1:102" x14ac:dyDescent="0.25">
      <c r="A69" s="108"/>
      <c r="B69" s="108"/>
      <c r="C69" s="108"/>
      <c r="E69" s="108"/>
      <c r="F69" s="108"/>
      <c r="G69" s="108"/>
      <c r="H69" s="108"/>
      <c r="I69" s="108"/>
      <c r="J69" s="108"/>
      <c r="K69" s="108"/>
      <c r="L69" s="108"/>
      <c r="M69" s="108"/>
      <c r="N69" s="108"/>
      <c r="O69" s="108"/>
      <c r="P69" s="108"/>
    </row>
    <row r="70" spans="1:102" x14ac:dyDescent="0.25">
      <c r="A70" s="108"/>
      <c r="B70" s="108"/>
      <c r="C70" s="108"/>
      <c r="E70" s="108"/>
      <c r="F70" s="108"/>
      <c r="G70" s="108"/>
      <c r="H70" s="108"/>
      <c r="I70" s="108"/>
      <c r="J70" s="108"/>
      <c r="K70" s="108"/>
      <c r="L70" s="108"/>
      <c r="M70" s="108"/>
      <c r="N70" s="108"/>
      <c r="O70" s="108"/>
      <c r="P70" s="108"/>
    </row>
    <row r="71" spans="1:102" x14ac:dyDescent="0.25">
      <c r="A71" s="108"/>
      <c r="B71" s="108"/>
      <c r="C71" s="108"/>
      <c r="E71" s="108"/>
      <c r="F71" s="108"/>
      <c r="G71" s="108"/>
      <c r="H71" s="108"/>
      <c r="I71" s="108"/>
      <c r="J71" s="108"/>
      <c r="K71" s="108"/>
      <c r="L71" s="108"/>
      <c r="M71" s="108"/>
      <c r="N71" s="108"/>
      <c r="O71" s="108"/>
      <c r="P71" s="108"/>
    </row>
    <row r="72" spans="1:102" x14ac:dyDescent="0.25">
      <c r="A72" s="108"/>
      <c r="B72" s="108"/>
      <c r="C72" s="108"/>
      <c r="E72" s="108"/>
      <c r="F72" s="108"/>
      <c r="G72" s="108"/>
      <c r="H72" s="108"/>
      <c r="I72" s="108"/>
      <c r="J72" s="108"/>
      <c r="K72" s="108"/>
      <c r="L72" s="108"/>
      <c r="M72" s="108"/>
      <c r="N72" s="108"/>
      <c r="O72" s="108"/>
      <c r="P72" s="108"/>
    </row>
    <row r="73" spans="1:102" ht="21" customHeight="1" x14ac:dyDescent="0.25">
      <c r="A73" s="108"/>
      <c r="B73" s="108"/>
      <c r="C73" s="108"/>
      <c r="E73" s="108"/>
      <c r="F73" s="108"/>
      <c r="G73" s="108"/>
    </row>
    <row r="74" spans="1:102" x14ac:dyDescent="0.25">
      <c r="A74" s="108"/>
      <c r="B74" s="108"/>
      <c r="C74" s="108"/>
      <c r="E74" s="108"/>
      <c r="F74" s="108"/>
      <c r="G74" s="108"/>
    </row>
    <row r="75" spans="1:102" x14ac:dyDescent="0.25">
      <c r="A75" s="108"/>
      <c r="B75" s="108"/>
      <c r="C75" s="108"/>
      <c r="E75" s="108"/>
      <c r="F75" s="108"/>
      <c r="G75" s="108"/>
    </row>
    <row r="76" spans="1:102" ht="6.75" customHeight="1" x14ac:dyDescent="0.25">
      <c r="A76" s="108"/>
      <c r="B76" s="108"/>
      <c r="C76" s="108"/>
      <c r="E76" s="108"/>
      <c r="F76" s="108"/>
      <c r="G76" s="108"/>
    </row>
    <row r="77" spans="1:102" x14ac:dyDescent="0.25">
      <c r="A77" s="108"/>
      <c r="B77" s="108"/>
      <c r="C77" s="108"/>
      <c r="E77" s="108"/>
      <c r="F77" s="108"/>
      <c r="G77" s="108"/>
    </row>
    <row r="78" spans="1:102" x14ac:dyDescent="0.25">
      <c r="A78" s="108"/>
      <c r="B78" s="108"/>
      <c r="C78" s="108"/>
      <c r="E78" s="108"/>
      <c r="F78" s="108"/>
      <c r="G78" s="108"/>
    </row>
    <row r="79" spans="1:102" x14ac:dyDescent="0.25">
      <c r="A79" s="108"/>
      <c r="B79" s="108"/>
      <c r="C79" s="108"/>
      <c r="E79" s="108"/>
      <c r="F79" s="108"/>
      <c r="G79" s="108"/>
    </row>
    <row r="80" spans="1:102" x14ac:dyDescent="0.25">
      <c r="A80" s="108"/>
      <c r="B80" s="108"/>
      <c r="C80" s="108"/>
      <c r="E80" s="108"/>
      <c r="F80" s="108"/>
      <c r="G80" s="108"/>
    </row>
    <row r="81" spans="1:7" x14ac:dyDescent="0.25">
      <c r="A81" s="108"/>
      <c r="B81" s="108"/>
      <c r="C81" s="108"/>
      <c r="E81" s="108"/>
      <c r="F81" s="108"/>
      <c r="G81" s="108"/>
    </row>
    <row r="82" spans="1:7" x14ac:dyDescent="0.25">
      <c r="A82" s="108"/>
      <c r="B82" s="108"/>
      <c r="C82" s="108"/>
      <c r="E82" s="108"/>
      <c r="F82" s="108"/>
      <c r="G82" s="108"/>
    </row>
    <row r="83" spans="1:7" x14ac:dyDescent="0.25">
      <c r="A83" s="108"/>
      <c r="B83" s="108"/>
      <c r="C83" s="108"/>
      <c r="E83" s="108"/>
      <c r="F83" s="108"/>
      <c r="G83" s="108"/>
    </row>
    <row r="84" spans="1:7" x14ac:dyDescent="0.25">
      <c r="A84" s="108"/>
      <c r="B84" s="108"/>
      <c r="C84" s="108"/>
      <c r="E84" s="108"/>
      <c r="F84" s="108"/>
      <c r="G84" s="108"/>
    </row>
    <row r="85" spans="1:7" x14ac:dyDescent="0.25">
      <c r="A85" s="108"/>
      <c r="B85" s="108"/>
      <c r="C85" s="108"/>
      <c r="E85" s="108"/>
      <c r="F85" s="108"/>
      <c r="G85" s="108"/>
    </row>
    <row r="86" spans="1:7" x14ac:dyDescent="0.25">
      <c r="A86" s="108"/>
      <c r="B86" s="108"/>
      <c r="C86" s="108"/>
      <c r="E86" s="108"/>
      <c r="F86" s="108"/>
      <c r="G86" s="108"/>
    </row>
    <row r="87" spans="1:7" x14ac:dyDescent="0.25">
      <c r="A87" s="108"/>
      <c r="B87" s="108"/>
      <c r="C87" s="108"/>
      <c r="E87" s="108"/>
      <c r="F87" s="108"/>
      <c r="G87" s="108"/>
    </row>
    <row r="88" spans="1:7" x14ac:dyDescent="0.25">
      <c r="A88" s="108"/>
      <c r="B88" s="108"/>
      <c r="C88" s="108"/>
      <c r="E88" s="108"/>
      <c r="F88" s="108"/>
      <c r="G88" s="108"/>
    </row>
    <row r="89" spans="1:7" x14ac:dyDescent="0.25">
      <c r="G89" s="108"/>
    </row>
    <row r="90" spans="1:7" x14ac:dyDescent="0.25">
      <c r="G90" s="108"/>
    </row>
    <row r="91" spans="1:7" x14ac:dyDescent="0.25">
      <c r="G91" s="108"/>
    </row>
    <row r="92" spans="1:7" x14ac:dyDescent="0.25">
      <c r="G92" s="108"/>
    </row>
    <row r="93" spans="1:7" x14ac:dyDescent="0.25">
      <c r="G93" s="108"/>
    </row>
    <row r="94" spans="1:7" x14ac:dyDescent="0.25">
      <c r="G94" s="108"/>
    </row>
    <row r="95" spans="1:7" ht="6" customHeight="1" x14ac:dyDescent="0.25">
      <c r="G95" s="108"/>
    </row>
    <row r="96" spans="1:7" x14ac:dyDescent="0.25">
      <c r="G96" s="108"/>
    </row>
    <row r="97" spans="7:7" x14ac:dyDescent="0.25">
      <c r="G97" s="108"/>
    </row>
    <row r="98" spans="7:7" x14ac:dyDescent="0.25">
      <c r="G98" s="108"/>
    </row>
    <row r="99" spans="7:7" x14ac:dyDescent="0.25">
      <c r="G99" s="108"/>
    </row>
    <row r="128" ht="12.75" customHeight="1" x14ac:dyDescent="0.25"/>
  </sheetData>
  <sheetProtection algorithmName="SHA-512" hashValue="+P1D3uzMj/mVmYTgjbc7cy0/oxn7A/2rW04DKTCyyuREKA88Ic3CjfKkiHqcFCr7K+DHSORsVpwd7iim+JpZ/A==" saltValue="T82/NfEdYL89rE09NMRt2g==" spinCount="100000" sheet="1" objects="1" scenarios="1"/>
  <mergeCells count="2">
    <mergeCell ref="B4:F4"/>
    <mergeCell ref="B6:F6"/>
  </mergeCells>
  <conditionalFormatting sqref="B11:F59">
    <cfRule type="expression" dxfId="10" priority="1">
      <formula>IF($B10="",TRUE,FALSE)</formula>
    </cfRule>
  </conditionalFormatting>
  <printOptions horizontalCentered="1"/>
  <pageMargins left="0.25" right="0.25" top="0.75" bottom="0.75" header="0.3" footer="0.3"/>
  <pageSetup paperSize="9" scale="64" orientation="portrait" r:id="rId1"/>
  <headerFooter>
    <oddFooter xml:space="preserve">&amp;L&amp;"Consolas,Regular"&amp;9&amp;K00-049Developed by Engr. Muhammad Bayoumi Ali | E-mail: muhammad.bayoumi.ali@gmail.com | LinkedIn: linkedin.com/in/muhammad-bayoumi-ali </oddFooter>
  </headerFooter>
  <rowBreaks count="2" manualBreakCount="2">
    <brk id="118" max="17" man="1"/>
    <brk id="189" max="17" man="1"/>
  </rowBreaks>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xr:uid="{9D5FB546-F03F-4E63-86E7-C4CD2F298B1E}">
          <x14:formula1>
            <xm:f>'(03) Substructure Data'!$B$9:$B$58</xm:f>
          </x14:formula1>
          <xm:sqref>B10:B59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9CAB8-8953-4D6E-BCBC-4654C5C498C1}">
  <sheetPr codeName="Sheet9">
    <tabColor theme="9"/>
    <pageSetUpPr fitToPage="1"/>
  </sheetPr>
  <dimension ref="A1:O58"/>
  <sheetViews>
    <sheetView zoomScaleNormal="100" zoomScaleSheetLayoutView="100" workbookViewId="0"/>
  </sheetViews>
  <sheetFormatPr defaultRowHeight="15" x14ac:dyDescent="0.25"/>
  <cols>
    <col min="1" max="1" width="4.5703125" style="4" customWidth="1"/>
    <col min="2" max="6" width="24.7109375" style="4" customWidth="1"/>
    <col min="7" max="7" width="5.5703125" style="4" customWidth="1"/>
    <col min="8" max="16384" width="9.140625" style="4"/>
  </cols>
  <sheetData>
    <row r="1" spans="1:15" s="5" customFormat="1" ht="8.25" customHeight="1" x14ac:dyDescent="0.25">
      <c r="A1" s="1"/>
      <c r="B1" s="1"/>
      <c r="C1" s="1"/>
      <c r="D1" s="1"/>
      <c r="E1" s="1"/>
      <c r="F1" s="1"/>
      <c r="G1" s="1"/>
      <c r="H1" s="1"/>
      <c r="I1" s="1"/>
      <c r="J1" s="1"/>
      <c r="K1" s="1"/>
      <c r="L1" s="1"/>
      <c r="M1" s="1"/>
      <c r="N1" s="1"/>
      <c r="O1" s="1"/>
    </row>
    <row r="2" spans="1:15" s="5" customFormat="1" x14ac:dyDescent="0.25">
      <c r="A2" s="1"/>
      <c r="B2" s="111" t="s">
        <v>34</v>
      </c>
      <c r="C2" s="112">
        <f ca="1">TODAY()</f>
        <v>45981</v>
      </c>
      <c r="D2" s="2"/>
      <c r="E2" s="86"/>
      <c r="F2" s="1"/>
      <c r="G2" s="1"/>
      <c r="H2" s="1"/>
      <c r="I2" s="1"/>
      <c r="J2" s="1"/>
      <c r="K2" s="1"/>
      <c r="L2" s="1"/>
      <c r="M2" s="1"/>
      <c r="N2" s="1"/>
      <c r="O2" s="1"/>
    </row>
    <row r="3" spans="1:15" s="5" customFormat="1" ht="6" customHeight="1" x14ac:dyDescent="0.25">
      <c r="A3" s="1"/>
      <c r="B3" s="1"/>
      <c r="C3" s="1"/>
      <c r="D3" s="1"/>
      <c r="E3" s="1"/>
      <c r="F3" s="1"/>
      <c r="G3" s="1"/>
      <c r="H3" s="1"/>
      <c r="I3" s="1"/>
      <c r="J3" s="1"/>
      <c r="K3" s="1"/>
      <c r="L3" s="1"/>
      <c r="M3" s="1"/>
      <c r="N3" s="1"/>
      <c r="O3" s="1"/>
    </row>
    <row r="4" spans="1:15" s="5" customFormat="1" ht="47.1" customHeight="1" x14ac:dyDescent="0.25">
      <c r="A4" s="1"/>
      <c r="B4" s="299" t="s">
        <v>176</v>
      </c>
      <c r="C4" s="300"/>
      <c r="D4" s="300"/>
      <c r="E4" s="300"/>
      <c r="F4" s="301"/>
      <c r="G4" s="1"/>
      <c r="H4" s="1"/>
      <c r="I4" s="1"/>
      <c r="J4" s="1"/>
      <c r="K4" s="1"/>
      <c r="L4" s="1"/>
      <c r="M4" s="1"/>
      <c r="N4" s="1"/>
      <c r="O4" s="1"/>
    </row>
    <row r="5" spans="1:15" ht="4.5" customHeight="1" x14ac:dyDescent="0.25">
      <c r="A5" s="1"/>
      <c r="B5" s="6"/>
      <c r="C5" s="6"/>
      <c r="D5" s="6"/>
      <c r="E5" s="6"/>
      <c r="F5" s="6"/>
      <c r="G5" s="6"/>
      <c r="H5" s="6"/>
      <c r="I5" s="6"/>
      <c r="J5" s="6"/>
      <c r="K5" s="6"/>
      <c r="L5" s="6"/>
      <c r="M5" s="6"/>
      <c r="N5" s="1"/>
      <c r="O5" s="1"/>
    </row>
    <row r="6" spans="1:15" ht="15" customHeight="1" x14ac:dyDescent="0.25">
      <c r="A6" s="7"/>
      <c r="B6" s="332"/>
      <c r="C6" s="333"/>
      <c r="D6" s="333"/>
      <c r="E6" s="333"/>
      <c r="F6" s="333"/>
      <c r="G6" s="8"/>
      <c r="H6" s="8"/>
      <c r="I6" s="8"/>
      <c r="J6" s="8"/>
      <c r="K6" s="8"/>
      <c r="L6" s="9"/>
      <c r="M6" s="7"/>
      <c r="N6" s="1"/>
      <c r="O6" s="7"/>
    </row>
    <row r="7" spans="1:15" s="5" customFormat="1" ht="5.25" customHeight="1" x14ac:dyDescent="0.25">
      <c r="A7" s="1"/>
      <c r="B7" s="1"/>
      <c r="C7" s="1"/>
      <c r="D7" s="1"/>
      <c r="E7" s="1"/>
      <c r="F7" s="4"/>
      <c r="G7" s="4"/>
      <c r="H7" s="4"/>
      <c r="I7" s="4"/>
      <c r="J7" s="4"/>
      <c r="K7" s="4"/>
      <c r="L7" s="4"/>
      <c r="M7" s="4"/>
      <c r="N7" s="1"/>
      <c r="O7" s="1"/>
    </row>
    <row r="8" spans="1:15" x14ac:dyDescent="0.25">
      <c r="B8" s="168" t="s">
        <v>57</v>
      </c>
      <c r="C8" s="168" t="s">
        <v>56</v>
      </c>
      <c r="D8" s="168" t="s">
        <v>227</v>
      </c>
      <c r="E8" s="168" t="s">
        <v>228</v>
      </c>
      <c r="F8" s="169" t="s">
        <v>163</v>
      </c>
    </row>
    <row r="9" spans="1:15" x14ac:dyDescent="0.25">
      <c r="B9" s="88" t="s">
        <v>130</v>
      </c>
      <c r="C9" s="89">
        <v>1</v>
      </c>
      <c r="D9" s="88">
        <f>1+2.45+0.05+1.75</f>
        <v>5.25</v>
      </c>
      <c r="E9" s="88">
        <v>0</v>
      </c>
      <c r="F9" s="88" t="s">
        <v>168</v>
      </c>
    </row>
    <row r="10" spans="1:15" x14ac:dyDescent="0.25">
      <c r="B10" s="89" t="s">
        <v>130</v>
      </c>
      <c r="C10" s="89">
        <v>2</v>
      </c>
      <c r="D10" s="89">
        <f>1+2.45+0.05+1.75</f>
        <v>5.25</v>
      </c>
      <c r="E10" s="89">
        <v>-0.25</v>
      </c>
      <c r="F10" s="89" t="s">
        <v>168</v>
      </c>
    </row>
    <row r="11" spans="1:15" x14ac:dyDescent="0.25">
      <c r="B11" s="89" t="s">
        <v>130</v>
      </c>
      <c r="C11" s="89">
        <v>3</v>
      </c>
      <c r="D11" s="89">
        <f>1+2.45+0.05+1.75-0.35</f>
        <v>4.9000000000000004</v>
      </c>
      <c r="E11" s="89">
        <v>-0.25</v>
      </c>
      <c r="F11" s="89" t="s">
        <v>168</v>
      </c>
    </row>
    <row r="12" spans="1:15" x14ac:dyDescent="0.25">
      <c r="B12" s="89" t="s">
        <v>130</v>
      </c>
      <c r="C12" s="89">
        <v>6</v>
      </c>
      <c r="D12" s="89">
        <v>-4.9000000000000004</v>
      </c>
      <c r="E12" s="89">
        <v>-0.25</v>
      </c>
      <c r="F12" s="89" t="s">
        <v>167</v>
      </c>
    </row>
    <row r="13" spans="1:15" x14ac:dyDescent="0.25">
      <c r="B13" s="89" t="s">
        <v>130</v>
      </c>
      <c r="C13" s="89">
        <v>7</v>
      </c>
      <c r="D13" s="89">
        <v>-5.25</v>
      </c>
      <c r="E13" s="89">
        <v>-0.25</v>
      </c>
      <c r="F13" s="89" t="s">
        <v>167</v>
      </c>
    </row>
    <row r="14" spans="1:15" x14ac:dyDescent="0.25">
      <c r="B14" s="89" t="s">
        <v>130</v>
      </c>
      <c r="C14" s="89">
        <v>8</v>
      </c>
      <c r="D14" s="89">
        <v>-5.25</v>
      </c>
      <c r="E14" s="89">
        <v>0</v>
      </c>
      <c r="F14" s="89" t="s">
        <v>167</v>
      </c>
    </row>
    <row r="15" spans="1:15" x14ac:dyDescent="0.25">
      <c r="B15" s="89" t="s">
        <v>130</v>
      </c>
      <c r="C15" s="89">
        <v>4</v>
      </c>
      <c r="D15" s="89">
        <v>4.9000000000000004</v>
      </c>
      <c r="E15" s="89">
        <v>-1.5</v>
      </c>
      <c r="F15" s="89" t="s">
        <v>168</v>
      </c>
    </row>
    <row r="16" spans="1:15" x14ac:dyDescent="0.25">
      <c r="B16" s="89" t="s">
        <v>130</v>
      </c>
      <c r="C16" s="89">
        <v>5</v>
      </c>
      <c r="D16" s="89">
        <v>-4.9000000000000004</v>
      </c>
      <c r="E16" s="89">
        <v>-1.5</v>
      </c>
      <c r="F16" s="89" t="s">
        <v>167</v>
      </c>
    </row>
    <row r="17" spans="2:6" x14ac:dyDescent="0.25">
      <c r="B17" s="89" t="s">
        <v>129</v>
      </c>
      <c r="C17" s="89">
        <v>1</v>
      </c>
      <c r="D17" s="89">
        <f>1+2.45+0.05+1.75</f>
        <v>5.25</v>
      </c>
      <c r="E17" s="89">
        <v>0</v>
      </c>
      <c r="F17" s="89" t="s">
        <v>168</v>
      </c>
    </row>
    <row r="18" spans="2:6" x14ac:dyDescent="0.25">
      <c r="B18" s="89" t="s">
        <v>129</v>
      </c>
      <c r="C18" s="89">
        <v>2</v>
      </c>
      <c r="D18" s="89">
        <f>1+2.45+0.05+1.75</f>
        <v>5.25</v>
      </c>
      <c r="E18" s="89">
        <v>-0.25</v>
      </c>
      <c r="F18" s="89" t="s">
        <v>168</v>
      </c>
    </row>
    <row r="19" spans="2:6" x14ac:dyDescent="0.25">
      <c r="B19" s="89" t="s">
        <v>129</v>
      </c>
      <c r="C19" s="89">
        <v>3</v>
      </c>
      <c r="D19" s="88">
        <f>2.45+0.05+1.75</f>
        <v>4.25</v>
      </c>
      <c r="E19" s="89">
        <v>-0.25</v>
      </c>
      <c r="F19" s="89" t="s">
        <v>168</v>
      </c>
    </row>
    <row r="20" spans="2:6" x14ac:dyDescent="0.25">
      <c r="B20" s="89" t="s">
        <v>129</v>
      </c>
      <c r="C20" s="89">
        <v>4</v>
      </c>
      <c r="D20" s="89">
        <f>0.05+1.75</f>
        <v>1.8</v>
      </c>
      <c r="E20" s="89">
        <v>-0.8</v>
      </c>
      <c r="F20" s="89" t="s">
        <v>168</v>
      </c>
    </row>
    <row r="21" spans="2:6" x14ac:dyDescent="0.25">
      <c r="B21" s="89" t="s">
        <v>129</v>
      </c>
      <c r="C21" s="89">
        <v>5</v>
      </c>
      <c r="D21" s="89">
        <f>1.75</f>
        <v>1.75</v>
      </c>
      <c r="E21" s="89">
        <v>-1.5</v>
      </c>
      <c r="F21" s="89" t="s">
        <v>168</v>
      </c>
    </row>
    <row r="22" spans="2:6" x14ac:dyDescent="0.25">
      <c r="B22" s="89" t="s">
        <v>129</v>
      </c>
      <c r="C22" s="89">
        <v>6</v>
      </c>
      <c r="D22" s="89">
        <v>-1.75</v>
      </c>
      <c r="E22" s="89">
        <v>-1.5</v>
      </c>
      <c r="F22" s="89" t="s">
        <v>167</v>
      </c>
    </row>
    <row r="23" spans="2:6" x14ac:dyDescent="0.25">
      <c r="B23" s="89" t="s">
        <v>129</v>
      </c>
      <c r="C23" s="89">
        <v>7</v>
      </c>
      <c r="D23" s="89">
        <v>-1.8</v>
      </c>
      <c r="E23" s="89">
        <v>-0.8</v>
      </c>
      <c r="F23" s="89" t="s">
        <v>167</v>
      </c>
    </row>
    <row r="24" spans="2:6" x14ac:dyDescent="0.25">
      <c r="B24" s="89" t="s">
        <v>129</v>
      </c>
      <c r="C24" s="89">
        <v>8</v>
      </c>
      <c r="D24" s="89">
        <v>-4.25</v>
      </c>
      <c r="E24" s="89">
        <v>-0.25</v>
      </c>
      <c r="F24" s="89" t="s">
        <v>167</v>
      </c>
    </row>
    <row r="25" spans="2:6" x14ac:dyDescent="0.25">
      <c r="B25" s="89" t="s">
        <v>129</v>
      </c>
      <c r="C25" s="89">
        <v>9</v>
      </c>
      <c r="D25" s="89">
        <v>-5.25</v>
      </c>
      <c r="E25" s="89">
        <v>-0.25</v>
      </c>
      <c r="F25" s="89" t="s">
        <v>167</v>
      </c>
    </row>
    <row r="26" spans="2:6" x14ac:dyDescent="0.25">
      <c r="B26" s="89" t="s">
        <v>129</v>
      </c>
      <c r="C26" s="89">
        <v>10</v>
      </c>
      <c r="D26" s="89">
        <v>-5.25</v>
      </c>
      <c r="E26" s="89">
        <v>0</v>
      </c>
      <c r="F26" s="89" t="s">
        <v>167</v>
      </c>
    </row>
    <row r="27" spans="2:6" x14ac:dyDescent="0.25">
      <c r="B27" s="89" t="s">
        <v>128</v>
      </c>
      <c r="C27" s="89">
        <v>1</v>
      </c>
      <c r="D27" s="89">
        <v>5.25</v>
      </c>
      <c r="E27" s="89">
        <v>0</v>
      </c>
      <c r="F27" s="89" t="s">
        <v>168</v>
      </c>
    </row>
    <row r="28" spans="2:6" x14ac:dyDescent="0.25">
      <c r="B28" s="89" t="s">
        <v>128</v>
      </c>
      <c r="C28" s="89">
        <v>2</v>
      </c>
      <c r="D28" s="89">
        <v>5.25</v>
      </c>
      <c r="E28" s="89">
        <v>-0.25</v>
      </c>
      <c r="F28" s="89" t="s">
        <v>168</v>
      </c>
    </row>
    <row r="29" spans="2:6" x14ac:dyDescent="0.25">
      <c r="B29" s="89" t="s">
        <v>128</v>
      </c>
      <c r="C29" s="89">
        <v>3</v>
      </c>
      <c r="D29" s="88">
        <v>4.25</v>
      </c>
      <c r="E29" s="89">
        <v>-0.25</v>
      </c>
      <c r="F29" s="89" t="s">
        <v>168</v>
      </c>
    </row>
    <row r="30" spans="2:6" x14ac:dyDescent="0.25">
      <c r="B30" s="89" t="s">
        <v>128</v>
      </c>
      <c r="C30" s="89">
        <v>4</v>
      </c>
      <c r="D30" s="89">
        <v>1.8</v>
      </c>
      <c r="E30" s="89">
        <v>-0.8</v>
      </c>
      <c r="F30" s="89" t="s">
        <v>168</v>
      </c>
    </row>
    <row r="31" spans="2:6" x14ac:dyDescent="0.25">
      <c r="B31" s="89" t="s">
        <v>128</v>
      </c>
      <c r="C31" s="89">
        <v>5</v>
      </c>
      <c r="D31" s="89">
        <v>1.75</v>
      </c>
      <c r="E31" s="89">
        <v>-1.5</v>
      </c>
      <c r="F31" s="89" t="s">
        <v>168</v>
      </c>
    </row>
    <row r="32" spans="2:6" x14ac:dyDescent="0.25">
      <c r="B32" s="89" t="s">
        <v>128</v>
      </c>
      <c r="C32" s="89">
        <v>6</v>
      </c>
      <c r="D32" s="89">
        <v>-1.75</v>
      </c>
      <c r="E32" s="89">
        <v>-1.5</v>
      </c>
      <c r="F32" s="89" t="s">
        <v>167</v>
      </c>
    </row>
    <row r="33" spans="2:6" x14ac:dyDescent="0.25">
      <c r="B33" s="89" t="s">
        <v>128</v>
      </c>
      <c r="C33" s="89">
        <v>7</v>
      </c>
      <c r="D33" s="89">
        <v>-1.8</v>
      </c>
      <c r="E33" s="89">
        <v>-0.8</v>
      </c>
      <c r="F33" s="89" t="s">
        <v>167</v>
      </c>
    </row>
    <row r="34" spans="2:6" x14ac:dyDescent="0.25">
      <c r="B34" s="89" t="s">
        <v>128</v>
      </c>
      <c r="C34" s="89">
        <v>8</v>
      </c>
      <c r="D34" s="89">
        <v>-4.25</v>
      </c>
      <c r="E34" s="89">
        <v>-0.25</v>
      </c>
      <c r="F34" s="89" t="s">
        <v>167</v>
      </c>
    </row>
    <row r="35" spans="2:6" x14ac:dyDescent="0.25">
      <c r="B35" s="89" t="s">
        <v>128</v>
      </c>
      <c r="C35" s="89">
        <v>9</v>
      </c>
      <c r="D35" s="89">
        <v>-5.25</v>
      </c>
      <c r="E35" s="89">
        <v>-0.25</v>
      </c>
      <c r="F35" s="89" t="s">
        <v>167</v>
      </c>
    </row>
    <row r="36" spans="2:6" x14ac:dyDescent="0.25">
      <c r="B36" s="89" t="s">
        <v>128</v>
      </c>
      <c r="C36" s="89">
        <v>10</v>
      </c>
      <c r="D36" s="89">
        <v>-5.25</v>
      </c>
      <c r="E36" s="89">
        <v>0</v>
      </c>
      <c r="F36" s="89" t="s">
        <v>167</v>
      </c>
    </row>
    <row r="37" spans="2:6" x14ac:dyDescent="0.25">
      <c r="B37" s="89" t="s">
        <v>183</v>
      </c>
      <c r="C37" s="89">
        <v>1</v>
      </c>
      <c r="D37" s="89">
        <v>5.25</v>
      </c>
      <c r="E37" s="89">
        <v>0</v>
      </c>
      <c r="F37" s="89" t="s">
        <v>168</v>
      </c>
    </row>
    <row r="38" spans="2:6" x14ac:dyDescent="0.25">
      <c r="B38" s="89" t="s">
        <v>183</v>
      </c>
      <c r="C38" s="89">
        <v>2</v>
      </c>
      <c r="D38" s="89">
        <v>5.25</v>
      </c>
      <c r="E38" s="89">
        <v>-0.25</v>
      </c>
      <c r="F38" s="89" t="s">
        <v>168</v>
      </c>
    </row>
    <row r="39" spans="2:6" x14ac:dyDescent="0.25">
      <c r="B39" s="89" t="s">
        <v>183</v>
      </c>
      <c r="C39" s="89">
        <v>3</v>
      </c>
      <c r="D39" s="89">
        <v>4.25</v>
      </c>
      <c r="E39" s="89">
        <v>-0.25</v>
      </c>
      <c r="F39" s="89" t="s">
        <v>168</v>
      </c>
    </row>
    <row r="40" spans="2:6" x14ac:dyDescent="0.25">
      <c r="B40" s="89" t="s">
        <v>183</v>
      </c>
      <c r="C40" s="89">
        <v>4</v>
      </c>
      <c r="D40" s="89">
        <v>1.8</v>
      </c>
      <c r="E40" s="89">
        <v>-0.8</v>
      </c>
      <c r="F40" s="89" t="s">
        <v>168</v>
      </c>
    </row>
    <row r="41" spans="2:6" x14ac:dyDescent="0.25">
      <c r="B41" s="89" t="s">
        <v>183</v>
      </c>
      <c r="C41" s="89">
        <v>5</v>
      </c>
      <c r="D41" s="89">
        <v>1.75</v>
      </c>
      <c r="E41" s="89">
        <v>-1.5</v>
      </c>
      <c r="F41" s="89" t="s">
        <v>168</v>
      </c>
    </row>
    <row r="42" spans="2:6" x14ac:dyDescent="0.25">
      <c r="B42" s="89" t="s">
        <v>183</v>
      </c>
      <c r="C42" s="89">
        <v>6</v>
      </c>
      <c r="D42" s="89">
        <v>-1.75</v>
      </c>
      <c r="E42" s="89">
        <v>-1.5</v>
      </c>
      <c r="F42" s="89" t="s">
        <v>167</v>
      </c>
    </row>
    <row r="43" spans="2:6" x14ac:dyDescent="0.25">
      <c r="B43" s="89" t="s">
        <v>183</v>
      </c>
      <c r="C43" s="89">
        <v>7</v>
      </c>
      <c r="D43" s="89">
        <v>-1.8</v>
      </c>
      <c r="E43" s="89">
        <v>-0.8</v>
      </c>
      <c r="F43" s="89" t="s">
        <v>167</v>
      </c>
    </row>
    <row r="44" spans="2:6" x14ac:dyDescent="0.25">
      <c r="B44" s="89" t="s">
        <v>183</v>
      </c>
      <c r="C44" s="89">
        <v>8</v>
      </c>
      <c r="D44" s="89">
        <v>-4.25</v>
      </c>
      <c r="E44" s="89">
        <v>-0.25</v>
      </c>
      <c r="F44" s="89" t="s">
        <v>167</v>
      </c>
    </row>
    <row r="45" spans="2:6" x14ac:dyDescent="0.25">
      <c r="B45" s="89" t="s">
        <v>183</v>
      </c>
      <c r="C45" s="89">
        <v>9</v>
      </c>
      <c r="D45" s="89">
        <v>-5.25</v>
      </c>
      <c r="E45" s="89">
        <v>-0.25</v>
      </c>
      <c r="F45" s="89" t="s">
        <v>167</v>
      </c>
    </row>
    <row r="46" spans="2:6" x14ac:dyDescent="0.25">
      <c r="B46" s="89" t="s">
        <v>183</v>
      </c>
      <c r="C46" s="89">
        <v>10</v>
      </c>
      <c r="D46" s="89">
        <v>-5.25</v>
      </c>
      <c r="E46" s="89">
        <v>0</v>
      </c>
      <c r="F46" s="89" t="s">
        <v>167</v>
      </c>
    </row>
    <row r="47" spans="2:6" x14ac:dyDescent="0.25">
      <c r="B47" s="89"/>
      <c r="C47" s="89"/>
      <c r="D47" s="89"/>
      <c r="E47" s="89"/>
      <c r="F47" s="89"/>
    </row>
    <row r="48" spans="2:6" x14ac:dyDescent="0.25">
      <c r="B48" s="89"/>
      <c r="C48" s="89"/>
      <c r="D48" s="89"/>
      <c r="E48" s="89"/>
      <c r="F48" s="89"/>
    </row>
    <row r="49" spans="2:6" x14ac:dyDescent="0.25">
      <c r="B49" s="89"/>
      <c r="C49" s="89"/>
      <c r="D49" s="89"/>
      <c r="E49" s="89"/>
      <c r="F49" s="89"/>
    </row>
    <row r="50" spans="2:6" x14ac:dyDescent="0.25">
      <c r="B50" s="89"/>
      <c r="C50" s="89"/>
      <c r="D50" s="89"/>
      <c r="E50" s="89"/>
      <c r="F50" s="89"/>
    </row>
    <row r="51" spans="2:6" x14ac:dyDescent="0.25">
      <c r="B51" s="89"/>
      <c r="C51" s="89"/>
      <c r="D51" s="89"/>
      <c r="E51" s="89"/>
      <c r="F51" s="89"/>
    </row>
    <row r="52" spans="2:6" x14ac:dyDescent="0.25">
      <c r="B52" s="89"/>
      <c r="C52" s="89"/>
      <c r="D52" s="89"/>
      <c r="E52" s="89"/>
      <c r="F52" s="89"/>
    </row>
    <row r="53" spans="2:6" x14ac:dyDescent="0.25">
      <c r="B53" s="89"/>
      <c r="C53" s="89"/>
      <c r="D53" s="89"/>
      <c r="E53" s="89"/>
      <c r="F53" s="89"/>
    </row>
    <row r="54" spans="2:6" x14ac:dyDescent="0.25">
      <c r="B54" s="89"/>
      <c r="C54" s="89"/>
      <c r="D54" s="89"/>
      <c r="E54" s="89"/>
      <c r="F54" s="89"/>
    </row>
    <row r="55" spans="2:6" x14ac:dyDescent="0.25">
      <c r="B55" s="89"/>
      <c r="C55" s="89"/>
      <c r="D55" s="89"/>
      <c r="E55" s="89"/>
      <c r="F55" s="89"/>
    </row>
    <row r="56" spans="2:6" x14ac:dyDescent="0.25">
      <c r="B56" s="89"/>
      <c r="C56" s="89"/>
      <c r="D56" s="89"/>
      <c r="E56" s="89"/>
      <c r="F56" s="89"/>
    </row>
    <row r="57" spans="2:6" x14ac:dyDescent="0.25">
      <c r="B57" s="89"/>
      <c r="C57" s="89"/>
      <c r="D57" s="89"/>
      <c r="E57" s="89"/>
      <c r="F57" s="89"/>
    </row>
    <row r="58" spans="2:6" x14ac:dyDescent="0.25">
      <c r="B58" s="89"/>
      <c r="C58" s="89"/>
      <c r="D58" s="89"/>
      <c r="E58" s="89"/>
      <c r="F58" s="89"/>
    </row>
  </sheetData>
  <sheetProtection algorithmName="SHA-512" hashValue="dtMWerSyCMwfLCfhT370UW9zRGxq4UI4ZNFhJoxbKCphaYSUqPbr49QHEw/092m7iIwv1fVe09HTLKcpXZUA+A==" saltValue="VUOdssowi4We+xuTa9HdGA==" spinCount="100000" sheet="1" objects="1" scenarios="1"/>
  <dataConsolidate/>
  <mergeCells count="2">
    <mergeCell ref="B4:F4"/>
    <mergeCell ref="B6:F6"/>
  </mergeCells>
  <phoneticPr fontId="4" type="noConversion"/>
  <conditionalFormatting sqref="B19:C19 E19:F19">
    <cfRule type="expression" dxfId="9" priority="17">
      <formula>ISBLANK($B14)</formula>
    </cfRule>
  </conditionalFormatting>
  <conditionalFormatting sqref="B10:F14 C15:F15 B15:B17 B18:F18 D20:D25 B20:C38 E20:F38 D30:D35 B39:F58">
    <cfRule type="expression" dxfId="8" priority="13">
      <formula>ISBLANK($B9)</formula>
    </cfRule>
  </conditionalFormatting>
  <conditionalFormatting sqref="C16:F16">
    <cfRule type="expression" dxfId="7" priority="23">
      <formula>ISBLANK($B14)</formula>
    </cfRule>
  </conditionalFormatting>
  <conditionalFormatting sqref="C17:F17">
    <cfRule type="expression" dxfId="6" priority="21">
      <formula>ISBLANK($B14)</formula>
    </cfRule>
  </conditionalFormatting>
  <conditionalFormatting sqref="D26">
    <cfRule type="expression" dxfId="5" priority="6">
      <formula>ISBLANK($B24)</formula>
    </cfRule>
  </conditionalFormatting>
  <conditionalFormatting sqref="D27">
    <cfRule type="expression" dxfId="4" priority="5">
      <formula>ISBLANK($B24)</formula>
    </cfRule>
  </conditionalFormatting>
  <conditionalFormatting sqref="D28">
    <cfRule type="expression" dxfId="3" priority="4">
      <formula>ISBLANK($B24)</formula>
    </cfRule>
  </conditionalFormatting>
  <conditionalFormatting sqref="D36">
    <cfRule type="expression" dxfId="2" priority="3">
      <formula>ISBLANK($B34)</formula>
    </cfRule>
  </conditionalFormatting>
  <conditionalFormatting sqref="D37">
    <cfRule type="expression" dxfId="1" priority="2">
      <formula>ISBLANK($B34)</formula>
    </cfRule>
  </conditionalFormatting>
  <conditionalFormatting sqref="D38">
    <cfRule type="expression" dxfId="0" priority="1">
      <formula>ISBLANK($B34)</formula>
    </cfRule>
  </conditionalFormatting>
  <dataValidations count="1">
    <dataValidation type="list" allowBlank="1" showInputMessage="1" showErrorMessage="1" sqref="F9:F58" xr:uid="{E04D9CB4-B1F5-4477-A48A-F45447D038F4}">
      <formula1>"N,S"</formula1>
    </dataValidation>
  </dataValidations>
  <pageMargins left="0.7" right="0.7" top="0.75" bottom="0.75" header="0.3" footer="0.3"/>
  <pageSetup paperSize="9" scale="65" fitToHeight="0" orientation="portrait" r:id="rId1"/>
  <headerFooter>
    <oddFooter xml:space="preserve">&amp;L&amp;"Consolas,Regular"&amp;9&amp;K00-049Developed by Engr. Muhammad Bayoumi Ali | E-mail: muhammad.bayoumi.ali@gmail.com | LinkedIn: linkedin.com/in/muhammad-bayoumi-ali </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ACE6FCB4-27E0-431D-8745-240FB0813EC6}">
          <x14:formula1>
            <xm:f>'(02) Superstructure Data'!$B$9:$B$58</xm:f>
          </x14:formula1>
          <xm:sqref>B9:B58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6CB13-98A6-4B5E-B8FD-E4B9377120F9}">
  <sheetPr codeName="Sheet10">
    <tabColor rgb="FF151B25"/>
    <pageSetUpPr fitToPage="1"/>
  </sheetPr>
  <dimension ref="B1:F203"/>
  <sheetViews>
    <sheetView zoomScaleNormal="100" zoomScaleSheetLayoutView="130" workbookViewId="0"/>
  </sheetViews>
  <sheetFormatPr defaultRowHeight="15" x14ac:dyDescent="0.25"/>
  <cols>
    <col min="1" max="1" width="1.7109375" style="15" customWidth="1"/>
    <col min="2" max="2" width="13.28515625" bestFit="1" customWidth="1"/>
    <col min="3" max="3" width="10.28515625" bestFit="1" customWidth="1"/>
    <col min="4" max="5" width="12" bestFit="1" customWidth="1"/>
    <col min="6" max="6" width="17.5703125" bestFit="1" customWidth="1"/>
    <col min="7" max="7" width="3" style="15" customWidth="1"/>
    <col min="8" max="8" width="12.42578125" style="15" bestFit="1" customWidth="1"/>
    <col min="9" max="9" width="23.85546875" style="15" bestFit="1" customWidth="1"/>
    <col min="10" max="10" width="24" style="15" bestFit="1" customWidth="1"/>
    <col min="11" max="11" width="23" style="15" bestFit="1" customWidth="1"/>
    <col min="12" max="13" width="28.28515625" style="15" bestFit="1" customWidth="1"/>
    <col min="14" max="14" width="10" style="15" bestFit="1" customWidth="1"/>
    <col min="15" max="15" width="16.42578125" style="15" bestFit="1" customWidth="1"/>
    <col min="16" max="16" width="19.140625" style="15" bestFit="1" customWidth="1"/>
    <col min="17" max="17" width="12.140625" style="15" bestFit="1" customWidth="1"/>
    <col min="18" max="18" width="14" style="15" bestFit="1" customWidth="1"/>
    <col min="19" max="19" width="12.140625" style="15" bestFit="1" customWidth="1"/>
    <col min="20" max="20" width="14" style="15" bestFit="1" customWidth="1"/>
    <col min="21" max="21" width="1.7109375" style="15" customWidth="1"/>
    <col min="22" max="22" width="12.7109375" style="15" bestFit="1" customWidth="1"/>
    <col min="23" max="23" width="11.28515625" style="15" bestFit="1" customWidth="1"/>
    <col min="24" max="24" width="12" style="15" bestFit="1" customWidth="1"/>
    <col min="25" max="25" width="26.140625" style="15" bestFit="1" customWidth="1"/>
    <col min="26" max="26" width="38.28515625" style="15" bestFit="1" customWidth="1"/>
    <col min="27" max="27" width="37" style="15" bestFit="1" customWidth="1"/>
    <col min="28" max="29" width="43.140625" style="15" bestFit="1" customWidth="1"/>
    <col min="30" max="30" width="20.7109375" style="15" bestFit="1" customWidth="1"/>
    <col min="31" max="31" width="23" style="15" bestFit="1" customWidth="1"/>
    <col min="32" max="16384" width="9.140625" style="15"/>
  </cols>
  <sheetData>
    <row r="1" spans="2:6" x14ac:dyDescent="0.25">
      <c r="B1" s="15"/>
      <c r="C1" s="15"/>
      <c r="D1" s="15"/>
      <c r="E1" s="15"/>
      <c r="F1" s="15"/>
    </row>
    <row r="2" spans="2:6" x14ac:dyDescent="0.25">
      <c r="B2" s="15"/>
      <c r="C2" s="15"/>
      <c r="D2" s="15"/>
      <c r="E2" s="15"/>
      <c r="F2" s="15"/>
    </row>
    <row r="3" spans="2:6" ht="27" customHeight="1" x14ac:dyDescent="0.25">
      <c r="B3" s="223" t="s">
        <v>164</v>
      </c>
      <c r="C3" s="223" t="s">
        <v>56</v>
      </c>
      <c r="D3" s="223" t="s">
        <v>172</v>
      </c>
      <c r="E3" s="223" t="s">
        <v>173</v>
      </c>
      <c r="F3" s="223" t="s">
        <v>171</v>
      </c>
    </row>
    <row r="4" spans="2:6" x14ac:dyDescent="0.25">
      <c r="B4" s="171" t="s">
        <v>18</v>
      </c>
      <c r="C4" s="171"/>
      <c r="D4" s="172"/>
      <c r="E4" s="172"/>
      <c r="F4" s="172"/>
    </row>
    <row r="5" spans="2:6" x14ac:dyDescent="0.25">
      <c r="C5" s="254">
        <v>1</v>
      </c>
      <c r="D5" s="172">
        <v>676504.68200900394</v>
      </c>
      <c r="E5" s="172">
        <v>2705105.5040958151</v>
      </c>
      <c r="F5" s="172">
        <v>634.14650235157285</v>
      </c>
    </row>
    <row r="6" spans="2:6" x14ac:dyDescent="0.25">
      <c r="C6" s="254">
        <v>2</v>
      </c>
      <c r="D6" s="172">
        <v>676504.68200900394</v>
      </c>
      <c r="E6" s="172">
        <v>2705105.5040958151</v>
      </c>
      <c r="F6" s="172">
        <v>633.89650235157285</v>
      </c>
    </row>
    <row r="7" spans="2:6" x14ac:dyDescent="0.25">
      <c r="C7" s="254">
        <v>3</v>
      </c>
      <c r="D7" s="172">
        <v>676504.99254173704</v>
      </c>
      <c r="E7" s="172">
        <v>2705105.6655560941</v>
      </c>
      <c r="F7" s="172">
        <v>633.87690235157288</v>
      </c>
    </row>
    <row r="8" spans="2:6" x14ac:dyDescent="0.25">
      <c r="C8" s="254">
        <v>4</v>
      </c>
      <c r="D8" s="172">
        <v>676504.99254173704</v>
      </c>
      <c r="E8" s="172">
        <v>2705105.6655560941</v>
      </c>
      <c r="F8" s="172">
        <v>632.62690235157288</v>
      </c>
    </row>
    <row r="9" spans="2:6" x14ac:dyDescent="0.25">
      <c r="C9" s="254">
        <v>5</v>
      </c>
      <c r="D9" s="172">
        <v>676513.6874582629</v>
      </c>
      <c r="E9" s="172">
        <v>2705110.1864439058</v>
      </c>
      <c r="F9" s="172">
        <v>632.07810235157285</v>
      </c>
    </row>
    <row r="10" spans="2:6" x14ac:dyDescent="0.25">
      <c r="C10" s="254">
        <v>6</v>
      </c>
      <c r="D10" s="172">
        <v>676513.6874582629</v>
      </c>
      <c r="E10" s="172">
        <v>2705110.1864439058</v>
      </c>
      <c r="F10" s="172">
        <v>633.32810235157285</v>
      </c>
    </row>
    <row r="11" spans="2:6" x14ac:dyDescent="0.25">
      <c r="C11" s="254">
        <v>7</v>
      </c>
      <c r="D11" s="172">
        <v>676513.99799099599</v>
      </c>
      <c r="E11" s="172">
        <v>2705110.3479041848</v>
      </c>
      <c r="F11" s="172">
        <v>633.30850235157288</v>
      </c>
    </row>
    <row r="12" spans="2:6" x14ac:dyDescent="0.25">
      <c r="C12" s="254">
        <v>8</v>
      </c>
      <c r="D12" s="172">
        <v>676513.99799099599</v>
      </c>
      <c r="E12" s="172">
        <v>2705110.3479041848</v>
      </c>
      <c r="F12" s="172">
        <v>633.55850235157288</v>
      </c>
    </row>
    <row r="13" spans="2:6" x14ac:dyDescent="0.25">
      <c r="D13" s="171"/>
      <c r="E13" s="171"/>
      <c r="F13" s="171"/>
    </row>
    <row r="14" spans="2:6" x14ac:dyDescent="0.25">
      <c r="B14" s="171" t="s">
        <v>19</v>
      </c>
      <c r="C14" s="171"/>
      <c r="D14" s="172"/>
      <c r="E14" s="172"/>
      <c r="F14" s="172"/>
    </row>
    <row r="15" spans="2:6" x14ac:dyDescent="0.25">
      <c r="C15" s="254">
        <v>1</v>
      </c>
      <c r="D15" s="172">
        <v>676626.51427215221</v>
      </c>
      <c r="E15" s="172">
        <v>2704986.309798182</v>
      </c>
      <c r="F15" s="172">
        <v>634.90460408160004</v>
      </c>
    </row>
    <row r="16" spans="2:6" x14ac:dyDescent="0.25">
      <c r="C16" s="254">
        <v>2</v>
      </c>
      <c r="D16" s="172">
        <v>676626.51427215221</v>
      </c>
      <c r="E16" s="172">
        <v>2704986.309798182</v>
      </c>
      <c r="F16" s="172">
        <v>634.65460408160004</v>
      </c>
    </row>
    <row r="17" spans="2:6" x14ac:dyDescent="0.25">
      <c r="C17" s="254">
        <v>3</v>
      </c>
      <c r="D17" s="172">
        <v>676626.66885400878</v>
      </c>
      <c r="E17" s="172">
        <v>2704986.6238116366</v>
      </c>
      <c r="F17" s="172">
        <v>634.63500408160007</v>
      </c>
    </row>
    <row r="18" spans="2:6" x14ac:dyDescent="0.25">
      <c r="C18" s="254">
        <v>4</v>
      </c>
      <c r="D18" s="172">
        <v>676626.66885400878</v>
      </c>
      <c r="E18" s="172">
        <v>2704986.6238116366</v>
      </c>
      <c r="F18" s="172">
        <v>633.38500408160007</v>
      </c>
    </row>
    <row r="19" spans="2:6" x14ac:dyDescent="0.25">
      <c r="C19" s="254">
        <v>5</v>
      </c>
      <c r="D19" s="172">
        <v>676630.99714599119</v>
      </c>
      <c r="E19" s="172">
        <v>2704995.4161883635</v>
      </c>
      <c r="F19" s="172">
        <v>632.83620408160004</v>
      </c>
    </row>
    <row r="20" spans="2:6" x14ac:dyDescent="0.25">
      <c r="C20" s="254">
        <v>6</v>
      </c>
      <c r="D20" s="172">
        <v>676630.99714599119</v>
      </c>
      <c r="E20" s="172">
        <v>2704995.4161883635</v>
      </c>
      <c r="F20" s="172">
        <v>634.08620408160004</v>
      </c>
    </row>
    <row r="21" spans="2:6" x14ac:dyDescent="0.25">
      <c r="C21" s="254">
        <v>7</v>
      </c>
      <c r="D21" s="172">
        <v>676631.15172784775</v>
      </c>
      <c r="E21" s="172">
        <v>2704995.730201818</v>
      </c>
      <c r="F21" s="172">
        <v>634.06660408160008</v>
      </c>
    </row>
    <row r="22" spans="2:6" x14ac:dyDescent="0.25">
      <c r="C22" s="254">
        <v>8</v>
      </c>
      <c r="D22" s="172">
        <v>676631.15172784775</v>
      </c>
      <c r="E22" s="172">
        <v>2704995.730201818</v>
      </c>
      <c r="F22" s="172">
        <v>634.31660408160008</v>
      </c>
    </row>
    <row r="23" spans="2:6" x14ac:dyDescent="0.25">
      <c r="D23" s="171"/>
      <c r="E23" s="171"/>
      <c r="F23" s="171"/>
    </row>
    <row r="24" spans="2:6" x14ac:dyDescent="0.25">
      <c r="B24" s="171" t="s">
        <v>188</v>
      </c>
      <c r="C24" s="171"/>
      <c r="D24" s="172"/>
      <c r="E24" s="172"/>
      <c r="F24" s="172"/>
    </row>
    <row r="25" spans="2:6" x14ac:dyDescent="0.25">
      <c r="C25" s="254">
        <v>1</v>
      </c>
      <c r="D25" s="172">
        <v>676504.31275540835</v>
      </c>
      <c r="E25" s="172">
        <v>2705106.214583612</v>
      </c>
      <c r="F25" s="172">
        <v>634.14255215181549</v>
      </c>
    </row>
    <row r="26" spans="2:6" x14ac:dyDescent="0.25">
      <c r="C26" s="254">
        <v>2</v>
      </c>
      <c r="D26" s="172">
        <v>676504.31275540835</v>
      </c>
      <c r="E26" s="172">
        <v>2705106.214583612</v>
      </c>
      <c r="F26" s="172">
        <v>633.89255215181549</v>
      </c>
    </row>
    <row r="27" spans="2:6" x14ac:dyDescent="0.25">
      <c r="C27" s="254">
        <v>3</v>
      </c>
      <c r="D27" s="172">
        <v>676505.20004009246</v>
      </c>
      <c r="E27" s="172">
        <v>2705106.675805781</v>
      </c>
      <c r="F27" s="172">
        <v>633.83655215181557</v>
      </c>
    </row>
    <row r="28" spans="2:6" x14ac:dyDescent="0.25">
      <c r="C28" s="254">
        <v>4</v>
      </c>
      <c r="D28" s="172">
        <v>676507.3738875686</v>
      </c>
      <c r="E28" s="172">
        <v>2705107.8058000957</v>
      </c>
      <c r="F28" s="172">
        <v>633.14935215181561</v>
      </c>
    </row>
    <row r="29" spans="2:6" x14ac:dyDescent="0.25">
      <c r="C29" s="254">
        <v>5</v>
      </c>
      <c r="D29" s="172">
        <v>676507.4182518028</v>
      </c>
      <c r="E29" s="172">
        <v>2705107.828861204</v>
      </c>
      <c r="F29" s="172">
        <v>632.44655215181547</v>
      </c>
    </row>
    <row r="30" spans="2:6" x14ac:dyDescent="0.25">
      <c r="C30" s="254">
        <v>6</v>
      </c>
      <c r="D30" s="172">
        <v>676510.52374819724</v>
      </c>
      <c r="E30" s="172">
        <v>2705109.4431387959</v>
      </c>
      <c r="F30" s="172">
        <v>632.25055215181555</v>
      </c>
    </row>
    <row r="31" spans="2:6" x14ac:dyDescent="0.25">
      <c r="C31" s="254">
        <v>7</v>
      </c>
      <c r="D31" s="172">
        <v>676510.56811243144</v>
      </c>
      <c r="E31" s="172">
        <v>2705109.4661999042</v>
      </c>
      <c r="F31" s="172">
        <v>632.94775215181551</v>
      </c>
    </row>
    <row r="32" spans="2:6" x14ac:dyDescent="0.25">
      <c r="C32" s="254">
        <v>8</v>
      </c>
      <c r="D32" s="172">
        <v>676512.74195990758</v>
      </c>
      <c r="E32" s="172">
        <v>2705110.5961942188</v>
      </c>
      <c r="F32" s="172">
        <v>633.36055215181545</v>
      </c>
    </row>
    <row r="33" spans="2:6" x14ac:dyDescent="0.25">
      <c r="C33" s="254">
        <v>9</v>
      </c>
      <c r="D33" s="171">
        <v>676513.62924459169</v>
      </c>
      <c r="E33" s="171">
        <v>2705111.0574163878</v>
      </c>
      <c r="F33" s="172">
        <v>633.30455215181553</v>
      </c>
    </row>
    <row r="34" spans="2:6" x14ac:dyDescent="0.25">
      <c r="C34" s="254">
        <v>10</v>
      </c>
      <c r="D34" s="171">
        <v>676513.62924459169</v>
      </c>
      <c r="E34" s="171">
        <v>2705111.0574163878</v>
      </c>
      <c r="F34" s="172">
        <v>633.55455215181553</v>
      </c>
    </row>
    <row r="35" spans="2:6" x14ac:dyDescent="0.25">
      <c r="D35" s="171"/>
      <c r="E35" s="171"/>
      <c r="F35" s="171"/>
    </row>
    <row r="36" spans="2:6" x14ac:dyDescent="0.25">
      <c r="B36" s="171" t="s">
        <v>189</v>
      </c>
      <c r="C36" s="171"/>
      <c r="D36" s="172"/>
      <c r="E36" s="172"/>
      <c r="F36" s="172"/>
    </row>
    <row r="37" spans="2:6" x14ac:dyDescent="0.25">
      <c r="C37" s="254">
        <v>1</v>
      </c>
      <c r="D37" s="172">
        <v>676627.23227215221</v>
      </c>
      <c r="E37" s="172">
        <v>2704985.957798182</v>
      </c>
      <c r="F37" s="172">
        <v>634.9016381677751</v>
      </c>
    </row>
    <row r="38" spans="2:6" x14ac:dyDescent="0.25">
      <c r="C38" s="254">
        <v>2</v>
      </c>
      <c r="D38" s="172">
        <v>676627.23227215221</v>
      </c>
      <c r="E38" s="172">
        <v>2704985.957798182</v>
      </c>
      <c r="F38" s="172">
        <v>634.6516381677751</v>
      </c>
    </row>
    <row r="39" spans="2:6" x14ac:dyDescent="0.25">
      <c r="C39" s="254">
        <v>3</v>
      </c>
      <c r="D39" s="172">
        <v>676627.67393459938</v>
      </c>
      <c r="E39" s="172">
        <v>2704986.8549794806</v>
      </c>
      <c r="F39" s="172">
        <v>634.59563816777518</v>
      </c>
    </row>
    <row r="40" spans="2:6" x14ac:dyDescent="0.25">
      <c r="C40" s="254">
        <v>4</v>
      </c>
      <c r="D40" s="172">
        <v>676628.75600759499</v>
      </c>
      <c r="E40" s="172">
        <v>2704989.0530736623</v>
      </c>
      <c r="F40" s="172">
        <v>633.90843816777522</v>
      </c>
    </row>
    <row r="41" spans="2:6" x14ac:dyDescent="0.25">
      <c r="C41" s="254">
        <v>5</v>
      </c>
      <c r="D41" s="172">
        <v>676628.77809071739</v>
      </c>
      <c r="E41" s="172">
        <v>2704989.0979327275</v>
      </c>
      <c r="F41" s="172">
        <v>633.20563816777508</v>
      </c>
    </row>
    <row r="42" spans="2:6" x14ac:dyDescent="0.25">
      <c r="C42" s="254">
        <v>6</v>
      </c>
      <c r="D42" s="172">
        <v>676630.32390928257</v>
      </c>
      <c r="E42" s="172">
        <v>2704992.2380672726</v>
      </c>
      <c r="F42" s="172">
        <v>633.00963816777517</v>
      </c>
    </row>
    <row r="43" spans="2:6" x14ac:dyDescent="0.25">
      <c r="C43" s="254">
        <v>7</v>
      </c>
      <c r="D43" s="172">
        <v>676630.34599240497</v>
      </c>
      <c r="E43" s="172">
        <v>2704992.2829263378</v>
      </c>
      <c r="F43" s="172">
        <v>633.70683816777512</v>
      </c>
    </row>
    <row r="44" spans="2:6" x14ac:dyDescent="0.25">
      <c r="C44" s="254">
        <v>8</v>
      </c>
      <c r="D44" s="172">
        <v>676631.42806540057</v>
      </c>
      <c r="E44" s="172">
        <v>2704994.4810205195</v>
      </c>
      <c r="F44" s="172">
        <v>634.11963816777507</v>
      </c>
    </row>
    <row r="45" spans="2:6" x14ac:dyDescent="0.25">
      <c r="C45" s="254">
        <v>9</v>
      </c>
      <c r="D45" s="171">
        <v>676631.86972784775</v>
      </c>
      <c r="E45" s="171">
        <v>2704995.3782018181</v>
      </c>
      <c r="F45" s="172">
        <v>634.06363816777514</v>
      </c>
    </row>
    <row r="46" spans="2:6" x14ac:dyDescent="0.25">
      <c r="C46" s="254">
        <v>10</v>
      </c>
      <c r="D46" s="171">
        <v>676631.86972784775</v>
      </c>
      <c r="E46" s="171">
        <v>2704995.3782018181</v>
      </c>
      <c r="F46" s="172">
        <v>634.31363816777514</v>
      </c>
    </row>
    <row r="47" spans="2:6" x14ac:dyDescent="0.25">
      <c r="D47" s="171"/>
      <c r="E47" s="171"/>
      <c r="F47" s="171"/>
    </row>
    <row r="48" spans="2:6" x14ac:dyDescent="0.25">
      <c r="B48" s="171" t="s">
        <v>20</v>
      </c>
      <c r="C48" s="171"/>
      <c r="D48" s="172"/>
      <c r="E48" s="172"/>
      <c r="F48" s="172"/>
    </row>
    <row r="49" spans="2:6" x14ac:dyDescent="0.25">
      <c r="C49" s="254">
        <v>1</v>
      </c>
      <c r="D49" s="172">
        <v>676515.83407045412</v>
      </c>
      <c r="E49" s="172">
        <v>2705086.0496484675</v>
      </c>
      <c r="F49" s="172">
        <v>634.25517784717306</v>
      </c>
    </row>
    <row r="50" spans="2:6" x14ac:dyDescent="0.25">
      <c r="C50" s="254">
        <v>2</v>
      </c>
      <c r="D50" s="172">
        <v>676515.83407045412</v>
      </c>
      <c r="E50" s="172">
        <v>2705086.0496484675</v>
      </c>
      <c r="F50" s="172">
        <v>634.00517784717306</v>
      </c>
    </row>
    <row r="51" spans="2:6" x14ac:dyDescent="0.25">
      <c r="C51" s="254">
        <v>3</v>
      </c>
      <c r="D51" s="172">
        <v>676516.68053322483</v>
      </c>
      <c r="E51" s="172">
        <v>2705086.5820963783</v>
      </c>
      <c r="F51" s="172">
        <v>633.94917784717313</v>
      </c>
    </row>
    <row r="52" spans="2:6" x14ac:dyDescent="0.25">
      <c r="C52" s="254">
        <v>4</v>
      </c>
      <c r="D52" s="172">
        <v>676518.75436701288</v>
      </c>
      <c r="E52" s="172">
        <v>2705087.8865937605</v>
      </c>
      <c r="F52" s="172">
        <v>633.26197784717317</v>
      </c>
    </row>
    <row r="53" spans="2:6" x14ac:dyDescent="0.25">
      <c r="C53" s="254">
        <v>5</v>
      </c>
      <c r="D53" s="172">
        <v>676518.79669015144</v>
      </c>
      <c r="E53" s="172">
        <v>2705087.913216156</v>
      </c>
      <c r="F53" s="172">
        <v>632.55917784717303</v>
      </c>
    </row>
    <row r="54" spans="2:6" x14ac:dyDescent="0.25">
      <c r="C54" s="254">
        <v>6</v>
      </c>
      <c r="D54" s="172">
        <v>676521.75930984865</v>
      </c>
      <c r="E54" s="172">
        <v>2705089.7767838445</v>
      </c>
      <c r="F54" s="172">
        <v>632.36317784717312</v>
      </c>
    </row>
    <row r="55" spans="2:6" x14ac:dyDescent="0.25">
      <c r="C55" s="254">
        <v>7</v>
      </c>
      <c r="D55" s="172">
        <v>676521.80163298722</v>
      </c>
      <c r="E55" s="172">
        <v>2705089.80340624</v>
      </c>
      <c r="F55" s="172">
        <v>633.06037784717307</v>
      </c>
    </row>
    <row r="56" spans="2:6" x14ac:dyDescent="0.25">
      <c r="C56" s="254">
        <v>8</v>
      </c>
      <c r="D56" s="172">
        <v>676523.87546677527</v>
      </c>
      <c r="E56" s="172">
        <v>2705091.1079036221</v>
      </c>
      <c r="F56" s="172">
        <v>633.47317784717302</v>
      </c>
    </row>
    <row r="57" spans="2:6" x14ac:dyDescent="0.25">
      <c r="C57" s="254">
        <v>9</v>
      </c>
      <c r="D57" s="172">
        <v>676524.72192954598</v>
      </c>
      <c r="E57" s="172">
        <v>2705091.640351533</v>
      </c>
      <c r="F57" s="172">
        <v>633.41717784717309</v>
      </c>
    </row>
    <row r="58" spans="2:6" x14ac:dyDescent="0.25">
      <c r="C58" s="254">
        <v>10</v>
      </c>
      <c r="D58" s="172">
        <v>676524.72192954598</v>
      </c>
      <c r="E58" s="172">
        <v>2705091.640351533</v>
      </c>
      <c r="F58" s="172">
        <v>633.66717784717309</v>
      </c>
    </row>
    <row r="59" spans="2:6" x14ac:dyDescent="0.25">
      <c r="D59" s="171"/>
      <c r="E59" s="171"/>
      <c r="F59" s="171"/>
    </row>
    <row r="60" spans="2:6" x14ac:dyDescent="0.25">
      <c r="B60" s="171" t="s">
        <v>21</v>
      </c>
      <c r="C60" s="171"/>
      <c r="D60" s="172"/>
      <c r="E60" s="172"/>
      <c r="F60" s="172"/>
    </row>
    <row r="61" spans="2:6" x14ac:dyDescent="0.25">
      <c r="C61" s="254">
        <v>1</v>
      </c>
      <c r="D61" s="172">
        <v>676529.77059765148</v>
      </c>
      <c r="E61" s="172">
        <v>2705065.9467795701</v>
      </c>
      <c r="F61" s="172">
        <v>634.37372884216654</v>
      </c>
    </row>
    <row r="62" spans="2:6" x14ac:dyDescent="0.25">
      <c r="C62" s="254">
        <v>2</v>
      </c>
      <c r="D62" s="172">
        <v>676529.77059765148</v>
      </c>
      <c r="E62" s="172">
        <v>2705065.9467795701</v>
      </c>
      <c r="F62" s="172">
        <v>634.12372884216654</v>
      </c>
    </row>
    <row r="63" spans="2:6" x14ac:dyDescent="0.25">
      <c r="C63" s="254">
        <v>3</v>
      </c>
      <c r="D63" s="172">
        <v>676530.56610286073</v>
      </c>
      <c r="E63" s="172">
        <v>2705066.5527263186</v>
      </c>
      <c r="F63" s="172">
        <v>634.06772884216662</v>
      </c>
    </row>
    <row r="64" spans="2:6" x14ac:dyDescent="0.25">
      <c r="C64" s="254">
        <v>4</v>
      </c>
      <c r="D64" s="172">
        <v>676532.5150906234</v>
      </c>
      <c r="E64" s="172">
        <v>2705068.0372958528</v>
      </c>
      <c r="F64" s="172">
        <v>633.38052884216665</v>
      </c>
    </row>
    <row r="65" spans="2:6" x14ac:dyDescent="0.25">
      <c r="C65" s="254">
        <v>5</v>
      </c>
      <c r="D65" s="172">
        <v>676532.5548658839</v>
      </c>
      <c r="E65" s="172">
        <v>2705068.0675931899</v>
      </c>
      <c r="F65" s="172">
        <v>632.67772884216652</v>
      </c>
    </row>
    <row r="66" spans="2:6" x14ac:dyDescent="0.25">
      <c r="C66" s="254">
        <v>6</v>
      </c>
      <c r="D66" s="172">
        <v>676535.33913411619</v>
      </c>
      <c r="E66" s="172">
        <v>2705070.1884068102</v>
      </c>
      <c r="F66" s="172">
        <v>632.4817288421666</v>
      </c>
    </row>
    <row r="67" spans="2:6" x14ac:dyDescent="0.25">
      <c r="C67" s="254">
        <v>7</v>
      </c>
      <c r="D67" s="172">
        <v>676535.37890937668</v>
      </c>
      <c r="E67" s="172">
        <v>2705070.2187041473</v>
      </c>
      <c r="F67" s="172">
        <v>633.17892884216656</v>
      </c>
    </row>
    <row r="68" spans="2:6" x14ac:dyDescent="0.25">
      <c r="C68" s="254">
        <v>8</v>
      </c>
      <c r="D68" s="172">
        <v>676537.32789713936</v>
      </c>
      <c r="E68" s="172">
        <v>2705071.7032736815</v>
      </c>
      <c r="F68" s="172">
        <v>633.5917288421665</v>
      </c>
    </row>
    <row r="69" spans="2:6" x14ac:dyDescent="0.25">
      <c r="C69" s="254">
        <v>9</v>
      </c>
      <c r="D69" s="172">
        <v>676538.1234023486</v>
      </c>
      <c r="E69" s="172">
        <v>2705072.30922043</v>
      </c>
      <c r="F69" s="172">
        <v>633.53572884216658</v>
      </c>
    </row>
    <row r="70" spans="2:6" x14ac:dyDescent="0.25">
      <c r="C70" s="254">
        <v>10</v>
      </c>
      <c r="D70" s="172">
        <v>676538.1234023486</v>
      </c>
      <c r="E70" s="172">
        <v>2705072.30922043</v>
      </c>
      <c r="F70" s="172">
        <v>633.78572884216658</v>
      </c>
    </row>
    <row r="71" spans="2:6" x14ac:dyDescent="0.25">
      <c r="D71" s="171"/>
      <c r="E71" s="171"/>
      <c r="F71" s="171"/>
    </row>
    <row r="72" spans="2:6" x14ac:dyDescent="0.25">
      <c r="B72" s="171" t="s">
        <v>22</v>
      </c>
      <c r="C72" s="171"/>
      <c r="D72" s="172"/>
      <c r="E72" s="172"/>
      <c r="F72" s="172"/>
    </row>
    <row r="73" spans="2:6" x14ac:dyDescent="0.25">
      <c r="C73" s="254">
        <v>1</v>
      </c>
      <c r="D73" s="172">
        <v>676548.22174797824</v>
      </c>
      <c r="E73" s="172">
        <v>2705044.1799877076</v>
      </c>
      <c r="F73" s="172">
        <v>634.512040836452</v>
      </c>
    </row>
    <row r="74" spans="2:6" x14ac:dyDescent="0.25">
      <c r="C74" s="254">
        <v>2</v>
      </c>
      <c r="D74" s="172">
        <v>676548.22174797824</v>
      </c>
      <c r="E74" s="172">
        <v>2705044.1799877076</v>
      </c>
      <c r="F74" s="172">
        <v>634.262040836452</v>
      </c>
    </row>
    <row r="75" spans="2:6" x14ac:dyDescent="0.25">
      <c r="C75" s="254">
        <v>3</v>
      </c>
      <c r="D75" s="172">
        <v>676548.94979598233</v>
      </c>
      <c r="E75" s="172">
        <v>2705044.8655138584</v>
      </c>
      <c r="F75" s="172">
        <v>634.20604083645208</v>
      </c>
    </row>
    <row r="76" spans="2:6" x14ac:dyDescent="0.25">
      <c r="C76" s="254">
        <v>4</v>
      </c>
      <c r="D76" s="172">
        <v>676550.73351359251</v>
      </c>
      <c r="E76" s="172">
        <v>2705046.5450529284</v>
      </c>
      <c r="F76" s="172">
        <v>633.51884083645211</v>
      </c>
    </row>
    <row r="77" spans="2:6" x14ac:dyDescent="0.25">
      <c r="C77" s="254">
        <v>5</v>
      </c>
      <c r="D77" s="172">
        <v>676550.76991599274</v>
      </c>
      <c r="E77" s="172">
        <v>2705046.5793292359</v>
      </c>
      <c r="F77" s="172">
        <v>632.81604083645198</v>
      </c>
    </row>
    <row r="78" spans="2:6" x14ac:dyDescent="0.25">
      <c r="C78" s="254">
        <v>6</v>
      </c>
      <c r="D78" s="172">
        <v>676553.31808400725</v>
      </c>
      <c r="E78" s="172">
        <v>2705048.9786707642</v>
      </c>
      <c r="F78" s="172">
        <v>632.62004083645206</v>
      </c>
    </row>
    <row r="79" spans="2:6" x14ac:dyDescent="0.25">
      <c r="C79" s="254">
        <v>7</v>
      </c>
      <c r="D79" s="172">
        <v>676553.35448640748</v>
      </c>
      <c r="E79" s="172">
        <v>2705049.0129470718</v>
      </c>
      <c r="F79" s="172">
        <v>633.31724083645202</v>
      </c>
    </row>
    <row r="80" spans="2:6" x14ac:dyDescent="0.25">
      <c r="C80" s="254">
        <v>8</v>
      </c>
      <c r="D80" s="172">
        <v>676555.13820401765</v>
      </c>
      <c r="E80" s="172">
        <v>2705050.6924861418</v>
      </c>
      <c r="F80" s="172">
        <v>633.73004083645196</v>
      </c>
    </row>
    <row r="81" spans="2:6" x14ac:dyDescent="0.25">
      <c r="C81" s="254">
        <v>9</v>
      </c>
      <c r="D81" s="172">
        <v>676555.86625202175</v>
      </c>
      <c r="E81" s="172">
        <v>2705051.3780122926</v>
      </c>
      <c r="F81" s="172">
        <v>633.67404083645204</v>
      </c>
    </row>
    <row r="82" spans="2:6" x14ac:dyDescent="0.25">
      <c r="C82" s="254">
        <v>10</v>
      </c>
      <c r="D82" s="172">
        <v>676555.86625202175</v>
      </c>
      <c r="E82" s="172">
        <v>2705051.3780122926</v>
      </c>
      <c r="F82" s="172">
        <v>633.92404083645204</v>
      </c>
    </row>
    <row r="83" spans="2:6" x14ac:dyDescent="0.25">
      <c r="D83" s="171"/>
      <c r="E83" s="171"/>
      <c r="F83" s="171"/>
    </row>
    <row r="84" spans="2:6" x14ac:dyDescent="0.25">
      <c r="B84" s="171" t="s">
        <v>184</v>
      </c>
      <c r="C84" s="171"/>
      <c r="D84" s="172"/>
      <c r="E84" s="172"/>
      <c r="F84" s="172"/>
    </row>
    <row r="85" spans="2:6" x14ac:dyDescent="0.25">
      <c r="C85" s="254">
        <v>1</v>
      </c>
      <c r="D85" s="172">
        <v>676510.05818796577</v>
      </c>
      <c r="E85" s="172">
        <v>2705095.6622171034</v>
      </c>
      <c r="F85" s="172">
        <v>634.20084009937295</v>
      </c>
    </row>
    <row r="86" spans="2:6" x14ac:dyDescent="0.25">
      <c r="C86" s="254">
        <v>2</v>
      </c>
      <c r="D86" s="172">
        <v>676510.05818796577</v>
      </c>
      <c r="E86" s="172">
        <v>2705095.6622171034</v>
      </c>
      <c r="F86" s="172">
        <v>633.95084009937295</v>
      </c>
    </row>
    <row r="87" spans="2:6" x14ac:dyDescent="0.25">
      <c r="C87" s="254">
        <v>3</v>
      </c>
      <c r="D87" s="172">
        <v>676510.92577121034</v>
      </c>
      <c r="E87" s="172">
        <v>2705096.1595090837</v>
      </c>
      <c r="F87" s="172">
        <v>633.89484009937303</v>
      </c>
    </row>
    <row r="88" spans="2:6" x14ac:dyDescent="0.25">
      <c r="C88" s="254">
        <v>4</v>
      </c>
      <c r="D88" s="172">
        <v>676513.05135015969</v>
      </c>
      <c r="E88" s="172">
        <v>2705097.3778744354</v>
      </c>
      <c r="F88" s="172">
        <v>633.20764009937307</v>
      </c>
    </row>
    <row r="89" spans="2:6" x14ac:dyDescent="0.25">
      <c r="C89" s="254">
        <v>5</v>
      </c>
      <c r="D89" s="172">
        <v>676513.09472932189</v>
      </c>
      <c r="E89" s="172">
        <v>2705097.4027390345</v>
      </c>
      <c r="F89" s="172">
        <v>632.50484009937293</v>
      </c>
    </row>
    <row r="90" spans="2:6" x14ac:dyDescent="0.25">
      <c r="C90" s="254">
        <v>6</v>
      </c>
      <c r="D90" s="172">
        <v>676516.13127067813</v>
      </c>
      <c r="E90" s="172">
        <v>2705099.1432609656</v>
      </c>
      <c r="F90" s="172">
        <v>632.30884009937301</v>
      </c>
    </row>
    <row r="91" spans="2:6" x14ac:dyDescent="0.25">
      <c r="C91" s="254">
        <v>7</v>
      </c>
      <c r="D91" s="172">
        <v>676516.17464984034</v>
      </c>
      <c r="E91" s="172">
        <v>2705099.1681255647</v>
      </c>
      <c r="F91" s="172">
        <v>633.00604009937297</v>
      </c>
    </row>
    <row r="92" spans="2:6" x14ac:dyDescent="0.25">
      <c r="C92" s="254">
        <v>8</v>
      </c>
      <c r="D92" s="172">
        <v>676518.30022878968</v>
      </c>
      <c r="E92" s="172">
        <v>2705100.3864909164</v>
      </c>
      <c r="F92" s="172">
        <v>633.41884009937291</v>
      </c>
    </row>
    <row r="93" spans="2:6" x14ac:dyDescent="0.25">
      <c r="C93" s="254">
        <v>9</v>
      </c>
      <c r="D93" s="172">
        <v>676519.16781203425</v>
      </c>
      <c r="E93" s="172">
        <v>2705100.8837828967</v>
      </c>
      <c r="F93" s="172">
        <v>633.36284009937299</v>
      </c>
    </row>
    <row r="94" spans="2:6" x14ac:dyDescent="0.25">
      <c r="C94" s="254">
        <v>10</v>
      </c>
      <c r="D94" s="172">
        <v>676519.16781203425</v>
      </c>
      <c r="E94" s="172">
        <v>2705100.8837828967</v>
      </c>
      <c r="F94" s="172">
        <v>633.61284009937299</v>
      </c>
    </row>
    <row r="95" spans="2:6" x14ac:dyDescent="0.25">
      <c r="D95" s="171"/>
      <c r="E95" s="171"/>
      <c r="F95" s="171"/>
    </row>
    <row r="96" spans="2:6" x14ac:dyDescent="0.25">
      <c r="B96" s="171" t="s">
        <v>185</v>
      </c>
      <c r="C96" s="171"/>
      <c r="D96" s="172"/>
      <c r="E96" s="172"/>
      <c r="F96" s="172"/>
    </row>
    <row r="97" spans="2:6" x14ac:dyDescent="0.25">
      <c r="C97" s="254">
        <v>1</v>
      </c>
      <c r="D97" s="172">
        <v>676522.57751808513</v>
      </c>
      <c r="E97" s="172">
        <v>2705075.8417217103</v>
      </c>
      <c r="F97" s="172">
        <v>634.31445084454333</v>
      </c>
    </row>
    <row r="98" spans="2:6" x14ac:dyDescent="0.25">
      <c r="C98" s="254">
        <v>2</v>
      </c>
      <c r="D98" s="172">
        <v>676522.57751808513</v>
      </c>
      <c r="E98" s="172">
        <v>2705075.8417217103</v>
      </c>
      <c r="F98" s="172">
        <v>634.06445084454333</v>
      </c>
    </row>
    <row r="99" spans="2:6" x14ac:dyDescent="0.25">
      <c r="C99" s="254">
        <v>3</v>
      </c>
      <c r="D99" s="172">
        <v>676523.39932416414</v>
      </c>
      <c r="E99" s="172">
        <v>2705076.4114890038</v>
      </c>
      <c r="F99" s="172">
        <v>634.0084508445434</v>
      </c>
    </row>
    <row r="100" spans="2:6" x14ac:dyDescent="0.25">
      <c r="C100" s="254">
        <v>4</v>
      </c>
      <c r="D100" s="172">
        <v>676525.41274905775</v>
      </c>
      <c r="E100" s="172">
        <v>2705077.8074188721</v>
      </c>
      <c r="F100" s="172">
        <v>633.32125084454344</v>
      </c>
    </row>
    <row r="101" spans="2:6" x14ac:dyDescent="0.25">
      <c r="C101" s="254">
        <v>5</v>
      </c>
      <c r="D101" s="172">
        <v>676525.45383936167</v>
      </c>
      <c r="E101" s="172">
        <v>2705077.8359072367</v>
      </c>
      <c r="F101" s="172">
        <v>632.6184508445433</v>
      </c>
    </row>
    <row r="102" spans="2:6" x14ac:dyDescent="0.25">
      <c r="C102" s="254">
        <v>6</v>
      </c>
      <c r="D102" s="172">
        <v>676528.33016063832</v>
      </c>
      <c r="E102" s="172">
        <v>2705079.8300927635</v>
      </c>
      <c r="F102" s="172">
        <v>632.42245084454339</v>
      </c>
    </row>
    <row r="103" spans="2:6" x14ac:dyDescent="0.25">
      <c r="C103" s="254">
        <v>7</v>
      </c>
      <c r="D103" s="172">
        <v>676528.37125094223</v>
      </c>
      <c r="E103" s="172">
        <v>2705079.8585811281</v>
      </c>
      <c r="F103" s="172">
        <v>633.11965084454334</v>
      </c>
    </row>
    <row r="104" spans="2:6" x14ac:dyDescent="0.25">
      <c r="C104" s="254">
        <v>8</v>
      </c>
      <c r="D104" s="172">
        <v>676530.38467583584</v>
      </c>
      <c r="E104" s="172">
        <v>2705081.2545109964</v>
      </c>
      <c r="F104" s="172">
        <v>633.53245084454329</v>
      </c>
    </row>
    <row r="105" spans="2:6" x14ac:dyDescent="0.25">
      <c r="C105" s="254">
        <v>9</v>
      </c>
      <c r="D105" s="172">
        <v>676531.20648191485</v>
      </c>
      <c r="E105" s="172">
        <v>2705081.8242782899</v>
      </c>
      <c r="F105" s="172">
        <v>633.47645084454336</v>
      </c>
    </row>
    <row r="106" spans="2:6" x14ac:dyDescent="0.25">
      <c r="C106" s="254">
        <v>10</v>
      </c>
      <c r="D106" s="172">
        <v>676531.20648191485</v>
      </c>
      <c r="E106" s="172">
        <v>2705081.8242782899</v>
      </c>
      <c r="F106" s="172">
        <v>633.72645084454336</v>
      </c>
    </row>
    <row r="107" spans="2:6" x14ac:dyDescent="0.25">
      <c r="D107" s="171"/>
      <c r="E107" s="171"/>
      <c r="F107" s="171"/>
    </row>
    <row r="108" spans="2:6" x14ac:dyDescent="0.25">
      <c r="B108" s="171" t="s">
        <v>186</v>
      </c>
      <c r="C108" s="171"/>
      <c r="D108" s="172"/>
      <c r="E108" s="172"/>
      <c r="F108" s="172"/>
    </row>
    <row r="109" spans="2:6" x14ac:dyDescent="0.25">
      <c r="C109" s="254">
        <v>1</v>
      </c>
      <c r="D109" s="172">
        <v>676538.71222092444</v>
      </c>
      <c r="E109" s="172">
        <v>2705054.8222622261</v>
      </c>
      <c r="F109" s="172">
        <v>634.4428823391828</v>
      </c>
    </row>
    <row r="110" spans="2:6" x14ac:dyDescent="0.25">
      <c r="C110" s="254">
        <v>2</v>
      </c>
      <c r="D110" s="172">
        <v>676538.71222092444</v>
      </c>
      <c r="E110" s="172">
        <v>2705054.8222622261</v>
      </c>
      <c r="F110" s="172">
        <v>634.1928823391828</v>
      </c>
    </row>
    <row r="111" spans="2:6" x14ac:dyDescent="0.25">
      <c r="C111" s="254">
        <v>3</v>
      </c>
      <c r="D111" s="172">
        <v>676539.4750359864</v>
      </c>
      <c r="E111" s="172">
        <v>2705055.4688789449</v>
      </c>
      <c r="F111" s="172">
        <v>634.13688233918288</v>
      </c>
    </row>
    <row r="112" spans="2:6" x14ac:dyDescent="0.25">
      <c r="C112" s="254">
        <v>4</v>
      </c>
      <c r="D112" s="172">
        <v>676541.34393288835</v>
      </c>
      <c r="E112" s="172">
        <v>2705057.053089906</v>
      </c>
      <c r="F112" s="172">
        <v>633.44968233918291</v>
      </c>
    </row>
    <row r="113" spans="2:6" x14ac:dyDescent="0.25">
      <c r="C113" s="254">
        <v>5</v>
      </c>
      <c r="D113" s="172">
        <v>676541.38207364141</v>
      </c>
      <c r="E113" s="172">
        <v>2705057.0854207422</v>
      </c>
      <c r="F113" s="172">
        <v>632.74688233918278</v>
      </c>
    </row>
    <row r="114" spans="2:6" x14ac:dyDescent="0.25">
      <c r="C114" s="254">
        <v>6</v>
      </c>
      <c r="D114" s="172">
        <v>676544.05192635849</v>
      </c>
      <c r="E114" s="172">
        <v>2705059.3485792582</v>
      </c>
      <c r="F114" s="172">
        <v>632.55088233918286</v>
      </c>
    </row>
    <row r="115" spans="2:6" x14ac:dyDescent="0.25">
      <c r="C115" s="254">
        <v>7</v>
      </c>
      <c r="D115" s="172">
        <v>676544.09006711154</v>
      </c>
      <c r="E115" s="172">
        <v>2705059.3809100944</v>
      </c>
      <c r="F115" s="172">
        <v>633.24808233918282</v>
      </c>
    </row>
    <row r="116" spans="2:6" x14ac:dyDescent="0.25">
      <c r="C116" s="254">
        <v>8</v>
      </c>
      <c r="D116" s="172">
        <v>676545.95896401349</v>
      </c>
      <c r="E116" s="172">
        <v>2705060.9651210555</v>
      </c>
      <c r="F116" s="172">
        <v>633.66088233918276</v>
      </c>
    </row>
    <row r="117" spans="2:6" x14ac:dyDescent="0.25">
      <c r="C117" s="254">
        <v>9</v>
      </c>
      <c r="D117" s="172">
        <v>676546.72177907545</v>
      </c>
      <c r="E117" s="172">
        <v>2705061.6117377742</v>
      </c>
      <c r="F117" s="172">
        <v>633.60488233918284</v>
      </c>
    </row>
    <row r="118" spans="2:6" x14ac:dyDescent="0.25">
      <c r="C118" s="254">
        <v>10</v>
      </c>
      <c r="D118" s="172">
        <v>676546.72177907545</v>
      </c>
      <c r="E118" s="172">
        <v>2705061.6117377742</v>
      </c>
      <c r="F118" s="172">
        <v>633.85488233918284</v>
      </c>
    </row>
    <row r="119" spans="2:6" x14ac:dyDescent="0.25">
      <c r="D119" s="171"/>
      <c r="E119" s="171"/>
      <c r="F119" s="171"/>
    </row>
    <row r="120" spans="2:6" x14ac:dyDescent="0.25">
      <c r="B120" s="171" t="s">
        <v>187</v>
      </c>
      <c r="C120" s="171"/>
      <c r="D120" s="172"/>
      <c r="E120" s="172"/>
      <c r="F120" s="172"/>
    </row>
    <row r="121" spans="2:6" x14ac:dyDescent="0.25">
      <c r="C121" s="254">
        <v>1</v>
      </c>
      <c r="D121" s="172">
        <v>676556.07553547854</v>
      </c>
      <c r="E121" s="172">
        <v>2705036.1742878784</v>
      </c>
      <c r="F121" s="172">
        <v>634.56637358399928</v>
      </c>
    </row>
    <row r="122" spans="2:6" x14ac:dyDescent="0.25">
      <c r="C122" s="254">
        <v>2</v>
      </c>
      <c r="D122" s="172">
        <v>676556.07553547854</v>
      </c>
      <c r="E122" s="172">
        <v>2705036.1742878784</v>
      </c>
      <c r="F122" s="172">
        <v>634.31637358399928</v>
      </c>
    </row>
    <row r="123" spans="2:6" x14ac:dyDescent="0.25">
      <c r="C123" s="254">
        <v>3</v>
      </c>
      <c r="D123" s="172">
        <v>676556.77486205404</v>
      </c>
      <c r="E123" s="172">
        <v>2705036.8890901874</v>
      </c>
      <c r="F123" s="172">
        <v>634.26037358399935</v>
      </c>
    </row>
    <row r="124" spans="2:6" x14ac:dyDescent="0.25">
      <c r="C124" s="254">
        <v>4</v>
      </c>
      <c r="D124" s="172">
        <v>676558.48821216403</v>
      </c>
      <c r="E124" s="172">
        <v>2705038.6403558441</v>
      </c>
      <c r="F124" s="172">
        <v>633.57317358399939</v>
      </c>
    </row>
    <row r="125" spans="2:6" x14ac:dyDescent="0.25">
      <c r="C125" s="254">
        <v>5</v>
      </c>
      <c r="D125" s="172">
        <v>676558.52317849279</v>
      </c>
      <c r="E125" s="172">
        <v>2705038.6760959597</v>
      </c>
      <c r="F125" s="172">
        <v>632.87037358399925</v>
      </c>
    </row>
    <row r="126" spans="2:6" x14ac:dyDescent="0.25">
      <c r="C126" s="254">
        <v>6</v>
      </c>
      <c r="D126" s="172">
        <v>676560.97082150716</v>
      </c>
      <c r="E126" s="172">
        <v>2705041.1779040406</v>
      </c>
      <c r="F126" s="172">
        <v>632.67437358399934</v>
      </c>
    </row>
    <row r="127" spans="2:6" x14ac:dyDescent="0.25">
      <c r="C127" s="254">
        <v>7</v>
      </c>
      <c r="D127" s="172">
        <v>676561.00578783592</v>
      </c>
      <c r="E127" s="172">
        <v>2705041.2136441562</v>
      </c>
      <c r="F127" s="172">
        <v>633.37157358399929</v>
      </c>
    </row>
    <row r="128" spans="2:6" x14ac:dyDescent="0.25">
      <c r="C128" s="254">
        <v>8</v>
      </c>
      <c r="D128" s="172">
        <v>676562.71913794591</v>
      </c>
      <c r="E128" s="172">
        <v>2705042.9649098129</v>
      </c>
      <c r="F128" s="172">
        <v>633.78437358399924</v>
      </c>
    </row>
    <row r="129" spans="2:6" x14ac:dyDescent="0.25">
      <c r="C129" s="254">
        <v>9</v>
      </c>
      <c r="D129" s="172">
        <v>676563.41846452141</v>
      </c>
      <c r="E129" s="172">
        <v>2705043.6797121218</v>
      </c>
      <c r="F129" s="172">
        <v>633.72837358399931</v>
      </c>
    </row>
    <row r="130" spans="2:6" x14ac:dyDescent="0.25">
      <c r="C130" s="254">
        <v>10</v>
      </c>
      <c r="D130" s="172">
        <v>676563.41846452141</v>
      </c>
      <c r="E130" s="172">
        <v>2705043.6797121218</v>
      </c>
      <c r="F130" s="172">
        <v>633.97837358399931</v>
      </c>
    </row>
    <row r="131" spans="2:6" x14ac:dyDescent="0.25">
      <c r="D131" s="171"/>
      <c r="E131" s="171"/>
      <c r="F131" s="171"/>
    </row>
    <row r="132" spans="2:6" x14ac:dyDescent="0.25">
      <c r="B132" s="171" t="s">
        <v>52</v>
      </c>
      <c r="C132" s="171"/>
      <c r="D132" s="171"/>
      <c r="E132" s="171"/>
      <c r="F132" s="171"/>
    </row>
    <row r="133" spans="2:6" x14ac:dyDescent="0.25">
      <c r="C133" s="254">
        <v>1</v>
      </c>
      <c r="D133" s="171">
        <v>676586.41694070259</v>
      </c>
      <c r="E133" s="171">
        <v>2705010.5269778967</v>
      </c>
      <c r="F133" s="255">
        <v>634.75902332608484</v>
      </c>
    </row>
    <row r="134" spans="2:6" x14ac:dyDescent="0.25">
      <c r="C134" s="254">
        <v>2</v>
      </c>
      <c r="D134" s="171">
        <v>676586.41694070259</v>
      </c>
      <c r="E134" s="171">
        <v>2705010.5269778967</v>
      </c>
      <c r="F134" s="255">
        <v>634.50902332608484</v>
      </c>
    </row>
    <row r="135" spans="2:6" x14ac:dyDescent="0.25">
      <c r="C135" s="254">
        <v>3</v>
      </c>
      <c r="D135" s="171">
        <v>676587.00533294969</v>
      </c>
      <c r="E135" s="171">
        <v>2705011.3355535353</v>
      </c>
      <c r="F135" s="255">
        <v>634.45302332608492</v>
      </c>
    </row>
    <row r="136" spans="2:6" x14ac:dyDescent="0.25">
      <c r="C136" s="254">
        <v>4</v>
      </c>
      <c r="D136" s="171">
        <v>676588.44689395523</v>
      </c>
      <c r="E136" s="171">
        <v>2705013.3165638503</v>
      </c>
      <c r="F136" s="255">
        <v>633.76582332608496</v>
      </c>
    </row>
    <row r="137" spans="2:6" x14ac:dyDescent="0.25">
      <c r="C137" s="254">
        <v>5</v>
      </c>
      <c r="D137" s="171">
        <v>676588.4763135676</v>
      </c>
      <c r="E137" s="171">
        <v>2705013.3569926322</v>
      </c>
      <c r="F137" s="255">
        <v>633.06302332608482</v>
      </c>
    </row>
    <row r="138" spans="2:6" x14ac:dyDescent="0.25">
      <c r="C138" s="254">
        <v>6</v>
      </c>
      <c r="D138" s="171">
        <v>676590.5356864325</v>
      </c>
      <c r="E138" s="171">
        <v>2705016.1870073676</v>
      </c>
      <c r="F138" s="255">
        <v>632.8670233260849</v>
      </c>
    </row>
    <row r="139" spans="2:6" x14ac:dyDescent="0.25">
      <c r="C139" s="254">
        <v>7</v>
      </c>
      <c r="D139" s="171">
        <v>676590.56510604487</v>
      </c>
      <c r="E139" s="171">
        <v>2705016.2274361495</v>
      </c>
      <c r="F139" s="255">
        <v>633.56422332608486</v>
      </c>
    </row>
    <row r="140" spans="2:6" x14ac:dyDescent="0.25">
      <c r="C140" s="254">
        <v>8</v>
      </c>
      <c r="D140" s="171">
        <v>676592.00666705042</v>
      </c>
      <c r="E140" s="171">
        <v>2705018.2084464645</v>
      </c>
      <c r="F140" s="255">
        <v>633.9770233260848</v>
      </c>
    </row>
    <row r="141" spans="2:6" x14ac:dyDescent="0.25">
      <c r="C141" s="254">
        <v>9</v>
      </c>
      <c r="D141" s="171">
        <v>676592.59505929751</v>
      </c>
      <c r="E141" s="171">
        <v>2705019.0170221031</v>
      </c>
      <c r="F141" s="255">
        <v>633.92102332608488</v>
      </c>
    </row>
    <row r="142" spans="2:6" x14ac:dyDescent="0.25">
      <c r="C142" s="254">
        <v>10</v>
      </c>
      <c r="D142" s="171">
        <v>676592.59505929751</v>
      </c>
      <c r="E142" s="171">
        <v>2705019.0170221031</v>
      </c>
      <c r="F142" s="255">
        <v>634.17102332608488</v>
      </c>
    </row>
    <row r="143" spans="2:6" x14ac:dyDescent="0.25">
      <c r="D143" s="171"/>
      <c r="E143" s="171"/>
      <c r="F143" s="171"/>
    </row>
    <row r="144" spans="2:6" x14ac:dyDescent="0.25">
      <c r="B144" s="171" t="s">
        <v>298</v>
      </c>
      <c r="C144" s="171"/>
      <c r="D144" s="171"/>
      <c r="E144" s="171"/>
      <c r="F144" s="171"/>
    </row>
    <row r="145" spans="2:6" x14ac:dyDescent="0.25">
      <c r="C145" s="254">
        <v>1</v>
      </c>
      <c r="D145" s="171">
        <v>676606.8195719322</v>
      </c>
      <c r="E145" s="171">
        <v>2704997.0329593895</v>
      </c>
      <c r="F145" s="172">
        <v>634.87757432107821</v>
      </c>
    </row>
    <row r="146" spans="2:6" x14ac:dyDescent="0.25">
      <c r="C146" s="254">
        <v>2</v>
      </c>
      <c r="D146" s="171">
        <v>676606.8195719322</v>
      </c>
      <c r="E146" s="171">
        <v>2704997.0329593895</v>
      </c>
      <c r="F146" s="172">
        <v>634.62757432107821</v>
      </c>
    </row>
    <row r="147" spans="2:6" x14ac:dyDescent="0.25">
      <c r="C147" s="254">
        <v>3</v>
      </c>
      <c r="D147" s="171">
        <v>676607.33336775471</v>
      </c>
      <c r="E147" s="171">
        <v>2704997.8908718871</v>
      </c>
      <c r="F147" s="172">
        <v>634.57157432107829</v>
      </c>
    </row>
    <row r="148" spans="2:6" x14ac:dyDescent="0.25">
      <c r="C148" s="254">
        <v>4</v>
      </c>
      <c r="D148" s="171">
        <v>676608.59216751962</v>
      </c>
      <c r="E148" s="171">
        <v>2704999.9927575053</v>
      </c>
      <c r="F148" s="172">
        <v>633.88437432107833</v>
      </c>
    </row>
    <row r="149" spans="2:6" x14ac:dyDescent="0.25">
      <c r="C149" s="254">
        <v>5</v>
      </c>
      <c r="D149" s="171">
        <v>676608.61785731069</v>
      </c>
      <c r="E149" s="171">
        <v>2705000.0356531297</v>
      </c>
      <c r="F149" s="172">
        <v>633.18157432107819</v>
      </c>
    </row>
    <row r="150" spans="2:6" x14ac:dyDescent="0.25">
      <c r="C150" s="254">
        <v>6</v>
      </c>
      <c r="D150" s="171">
        <v>676610.4161426893</v>
      </c>
      <c r="E150" s="171">
        <v>2705003.0383468703</v>
      </c>
      <c r="F150" s="172">
        <v>632.98557432107827</v>
      </c>
    </row>
    <row r="151" spans="2:6" x14ac:dyDescent="0.25">
      <c r="C151" s="254">
        <v>7</v>
      </c>
      <c r="D151" s="171">
        <v>676610.44183248037</v>
      </c>
      <c r="E151" s="171">
        <v>2705003.0812424948</v>
      </c>
      <c r="F151" s="172">
        <v>633.68277432107823</v>
      </c>
    </row>
    <row r="152" spans="2:6" x14ac:dyDescent="0.25">
      <c r="C152" s="254">
        <v>8</v>
      </c>
      <c r="D152" s="171">
        <v>676611.70063224528</v>
      </c>
      <c r="E152" s="171">
        <v>2705005.1831281129</v>
      </c>
      <c r="F152" s="172">
        <v>634.09557432107817</v>
      </c>
    </row>
    <row r="153" spans="2:6" x14ac:dyDescent="0.25">
      <c r="C153" s="254">
        <v>9</v>
      </c>
      <c r="D153" s="171">
        <v>676612.21442806779</v>
      </c>
      <c r="E153" s="171">
        <v>2705006.0410406105</v>
      </c>
      <c r="F153" s="172">
        <v>634.03957432107825</v>
      </c>
    </row>
    <row r="154" spans="2:6" x14ac:dyDescent="0.25">
      <c r="C154" s="254">
        <v>10</v>
      </c>
      <c r="D154" s="171">
        <v>676612.21442806779</v>
      </c>
      <c r="E154" s="171">
        <v>2705006.0410406105</v>
      </c>
      <c r="F154" s="172">
        <v>634.28957432107825</v>
      </c>
    </row>
    <row r="155" spans="2:6" x14ac:dyDescent="0.25">
      <c r="D155" s="171"/>
      <c r="E155" s="171"/>
      <c r="F155" s="171"/>
    </row>
    <row r="156" spans="2:6" x14ac:dyDescent="0.25">
      <c r="B156" s="171" t="s">
        <v>51</v>
      </c>
      <c r="C156" s="171"/>
      <c r="D156" s="171"/>
      <c r="E156" s="171"/>
      <c r="F156" s="171"/>
    </row>
    <row r="157" spans="2:6" x14ac:dyDescent="0.25">
      <c r="C157" s="254">
        <v>1</v>
      </c>
      <c r="D157" s="171">
        <v>676564.25143036398</v>
      </c>
      <c r="E157" s="171">
        <v>2705028.4979615035</v>
      </c>
      <c r="F157" s="172">
        <v>634.62071133179938</v>
      </c>
    </row>
    <row r="158" spans="2:6" x14ac:dyDescent="0.25">
      <c r="C158" s="254">
        <v>2</v>
      </c>
      <c r="D158" s="171">
        <v>676564.25143036398</v>
      </c>
      <c r="E158" s="171">
        <v>2705028.4979615035</v>
      </c>
      <c r="F158" s="172">
        <v>634.37071133179938</v>
      </c>
    </row>
    <row r="159" spans="2:6" x14ac:dyDescent="0.25">
      <c r="C159" s="254">
        <v>3</v>
      </c>
      <c r="D159" s="171">
        <v>676564.92087219935</v>
      </c>
      <c r="E159" s="171">
        <v>2705029.240825979</v>
      </c>
      <c r="F159" s="172">
        <v>634.31471133179946</v>
      </c>
    </row>
    <row r="160" spans="2:6" x14ac:dyDescent="0.25">
      <c r="C160" s="254">
        <v>4</v>
      </c>
      <c r="D160" s="171">
        <v>676566.56100469618</v>
      </c>
      <c r="E160" s="171">
        <v>2705031.0608439441</v>
      </c>
      <c r="F160" s="172">
        <v>633.6275113317995</v>
      </c>
    </row>
    <row r="161" spans="2:6" x14ac:dyDescent="0.25">
      <c r="C161" s="254">
        <v>5</v>
      </c>
      <c r="D161" s="171">
        <v>676566.59447678796</v>
      </c>
      <c r="E161" s="171">
        <v>2705031.097987168</v>
      </c>
      <c r="F161" s="172">
        <v>632.92471133179936</v>
      </c>
    </row>
    <row r="162" spans="2:6" x14ac:dyDescent="0.25">
      <c r="C162" s="254">
        <v>6</v>
      </c>
      <c r="D162" s="171">
        <v>676568.93752321193</v>
      </c>
      <c r="E162" s="171">
        <v>2705033.6980128321</v>
      </c>
      <c r="F162" s="172">
        <v>632.72871133179945</v>
      </c>
    </row>
    <row r="163" spans="2:6" x14ac:dyDescent="0.25">
      <c r="C163" s="254">
        <v>7</v>
      </c>
      <c r="D163" s="171">
        <v>676568.97099530371</v>
      </c>
      <c r="E163" s="171">
        <v>2705033.735156056</v>
      </c>
      <c r="F163" s="172">
        <v>633.4259113317994</v>
      </c>
    </row>
    <row r="164" spans="2:6" x14ac:dyDescent="0.25">
      <c r="C164" s="254">
        <v>8</v>
      </c>
      <c r="D164" s="171">
        <v>676570.61112780054</v>
      </c>
      <c r="E164" s="171">
        <v>2705035.5551740211</v>
      </c>
      <c r="F164" s="172">
        <v>633.83871133179935</v>
      </c>
    </row>
    <row r="165" spans="2:6" x14ac:dyDescent="0.25">
      <c r="C165" s="254">
        <v>9</v>
      </c>
      <c r="D165" s="171">
        <v>676571.28056963591</v>
      </c>
      <c r="E165" s="171">
        <v>2705036.2980384966</v>
      </c>
      <c r="F165" s="172">
        <v>633.78271133179942</v>
      </c>
    </row>
    <row r="166" spans="2:6" x14ac:dyDescent="0.25">
      <c r="C166" s="254">
        <v>10</v>
      </c>
      <c r="D166" s="171">
        <v>676571.28056963591</v>
      </c>
      <c r="E166" s="171">
        <v>2705036.2980384966</v>
      </c>
      <c r="F166" s="172">
        <v>634.03271133179942</v>
      </c>
    </row>
    <row r="167" spans="2:6" x14ac:dyDescent="0.25">
      <c r="D167" s="171"/>
      <c r="E167" s="171"/>
      <c r="F167" s="171"/>
    </row>
    <row r="168" spans="2:6" x14ac:dyDescent="0.25">
      <c r="B168" s="171" t="s">
        <v>299</v>
      </c>
      <c r="C168" s="171"/>
      <c r="D168" s="171"/>
      <c r="E168" s="171"/>
      <c r="F168" s="172"/>
    </row>
    <row r="169" spans="2:6" x14ac:dyDescent="0.25">
      <c r="C169" s="254">
        <v>1</v>
      </c>
      <c r="D169" s="171">
        <v>676575.09971857443</v>
      </c>
      <c r="E169" s="171">
        <v>2705019.2228873074</v>
      </c>
      <c r="F169" s="172">
        <v>634.68986982906858</v>
      </c>
    </row>
    <row r="170" spans="2:6" x14ac:dyDescent="0.25">
      <c r="C170" s="254">
        <v>2</v>
      </c>
      <c r="D170" s="171">
        <v>676575.09971857443</v>
      </c>
      <c r="E170" s="171">
        <v>2705019.2228873074</v>
      </c>
      <c r="F170" s="172">
        <v>634.43986982906858</v>
      </c>
    </row>
    <row r="171" spans="2:6" x14ac:dyDescent="0.25">
      <c r="C171" s="254">
        <v>3</v>
      </c>
      <c r="D171" s="171">
        <v>676575.72948646499</v>
      </c>
      <c r="E171" s="171">
        <v>2705019.9996706774</v>
      </c>
      <c r="F171" s="172">
        <v>634.38386982906866</v>
      </c>
    </row>
    <row r="172" spans="2:6" x14ac:dyDescent="0.25">
      <c r="C172" s="254">
        <v>4</v>
      </c>
      <c r="D172" s="171">
        <v>676577.27241779689</v>
      </c>
      <c r="E172" s="171">
        <v>2705021.9027899341</v>
      </c>
      <c r="F172" s="172">
        <v>633.6966698290687</v>
      </c>
    </row>
    <row r="173" spans="2:6" x14ac:dyDescent="0.25">
      <c r="C173" s="254">
        <v>5</v>
      </c>
      <c r="D173" s="171">
        <v>676577.30390619149</v>
      </c>
      <c r="E173" s="171">
        <v>2705021.9416291025</v>
      </c>
      <c r="F173" s="172">
        <v>632.99386982906856</v>
      </c>
    </row>
    <row r="174" spans="2:6" x14ac:dyDescent="0.25">
      <c r="C174" s="254">
        <v>6</v>
      </c>
      <c r="D174" s="171">
        <v>676579.50809380843</v>
      </c>
      <c r="E174" s="171">
        <v>2705024.6603708975</v>
      </c>
      <c r="F174" s="172">
        <v>632.79786982906865</v>
      </c>
    </row>
    <row r="175" spans="2:6" x14ac:dyDescent="0.25">
      <c r="C175" s="254">
        <v>7</v>
      </c>
      <c r="D175" s="171">
        <v>676579.53958220303</v>
      </c>
      <c r="E175" s="171">
        <v>2705024.6992100659</v>
      </c>
      <c r="F175" s="172">
        <v>633.4950698290686</v>
      </c>
    </row>
    <row r="176" spans="2:6" x14ac:dyDescent="0.25">
      <c r="C176" s="254">
        <v>8</v>
      </c>
      <c r="D176" s="171">
        <v>676581.08251353493</v>
      </c>
      <c r="E176" s="171">
        <v>2705026.6023293226</v>
      </c>
      <c r="F176" s="172">
        <v>633.90786982906855</v>
      </c>
    </row>
    <row r="177" spans="2:6" x14ac:dyDescent="0.25">
      <c r="C177" s="254">
        <v>9</v>
      </c>
      <c r="D177" s="171">
        <v>676581.71228142548</v>
      </c>
      <c r="E177" s="171">
        <v>2705027.3791126925</v>
      </c>
      <c r="F177" s="172">
        <v>633.85186982906862</v>
      </c>
    </row>
    <row r="178" spans="2:6" x14ac:dyDescent="0.25">
      <c r="C178" s="254">
        <v>10</v>
      </c>
      <c r="D178" s="171">
        <v>676581.71228142548</v>
      </c>
      <c r="E178" s="171">
        <v>2705027.3791126925</v>
      </c>
      <c r="F178" s="172">
        <v>634.10186982906862</v>
      </c>
    </row>
    <row r="179" spans="2:6" x14ac:dyDescent="0.25">
      <c r="D179" s="171"/>
      <c r="E179" s="171"/>
      <c r="F179" s="171"/>
    </row>
    <row r="180" spans="2:6" x14ac:dyDescent="0.25">
      <c r="B180" s="171" t="s">
        <v>300</v>
      </c>
      <c r="C180" s="171"/>
      <c r="D180" s="171"/>
      <c r="E180" s="171"/>
      <c r="F180" s="172"/>
    </row>
    <row r="181" spans="2:6" x14ac:dyDescent="0.25">
      <c r="C181" s="254">
        <v>1</v>
      </c>
      <c r="D181" s="171">
        <v>676596.4668591792</v>
      </c>
      <c r="E181" s="171">
        <v>2705003.5520882234</v>
      </c>
      <c r="F181" s="172">
        <v>634.81830132370794</v>
      </c>
    </row>
    <row r="182" spans="2:6" x14ac:dyDescent="0.25">
      <c r="C182" s="254">
        <v>2</v>
      </c>
      <c r="D182" s="171">
        <v>676596.4668591792</v>
      </c>
      <c r="E182" s="171">
        <v>2705003.5520882234</v>
      </c>
      <c r="F182" s="172">
        <v>634.56830132370794</v>
      </c>
    </row>
    <row r="183" spans="2:6" x14ac:dyDescent="0.25">
      <c r="C183" s="254">
        <v>3</v>
      </c>
      <c r="D183" s="171">
        <v>676597.01850504987</v>
      </c>
      <c r="E183" s="171">
        <v>2705004.3861666569</v>
      </c>
      <c r="F183" s="172">
        <v>634.51230132370802</v>
      </c>
    </row>
    <row r="184" spans="2:6" x14ac:dyDescent="0.25">
      <c r="C184" s="254">
        <v>4</v>
      </c>
      <c r="D184" s="171">
        <v>676598.37003743288</v>
      </c>
      <c r="E184" s="171">
        <v>2705006.4296588195</v>
      </c>
      <c r="F184" s="172">
        <v>633.82510132370805</v>
      </c>
    </row>
    <row r="185" spans="2:6" x14ac:dyDescent="0.25">
      <c r="C185" s="254">
        <v>5</v>
      </c>
      <c r="D185" s="171">
        <v>676598.39761972637</v>
      </c>
      <c r="E185" s="171">
        <v>2705006.4713627412</v>
      </c>
      <c r="F185" s="172">
        <v>633.12230132370792</v>
      </c>
    </row>
    <row r="186" spans="2:6" x14ac:dyDescent="0.25">
      <c r="C186" s="254">
        <v>6</v>
      </c>
      <c r="D186" s="171">
        <v>676600.32838027366</v>
      </c>
      <c r="E186" s="171">
        <v>2705009.3906372585</v>
      </c>
      <c r="F186" s="172">
        <v>632.926301323708</v>
      </c>
    </row>
    <row r="187" spans="2:6" x14ac:dyDescent="0.25">
      <c r="C187" s="254">
        <v>7</v>
      </c>
      <c r="D187" s="171">
        <v>676600.35596256715</v>
      </c>
      <c r="E187" s="171">
        <v>2705009.4323411803</v>
      </c>
      <c r="F187" s="172">
        <v>633.62350132370796</v>
      </c>
    </row>
    <row r="188" spans="2:6" x14ac:dyDescent="0.25">
      <c r="C188" s="254">
        <v>8</v>
      </c>
      <c r="D188" s="171">
        <v>676601.70749495015</v>
      </c>
      <c r="E188" s="171">
        <v>2705011.4758333429</v>
      </c>
      <c r="F188" s="172">
        <v>634.0363013237079</v>
      </c>
    </row>
    <row r="189" spans="2:6" x14ac:dyDescent="0.25">
      <c r="C189" s="254">
        <v>9</v>
      </c>
      <c r="D189" s="171">
        <v>676602.25914082082</v>
      </c>
      <c r="E189" s="171">
        <v>2705012.3099117763</v>
      </c>
      <c r="F189" s="172">
        <v>633.98030132370798</v>
      </c>
    </row>
    <row r="190" spans="2:6" x14ac:dyDescent="0.25">
      <c r="C190" s="254">
        <v>10</v>
      </c>
      <c r="D190" s="171">
        <v>676602.25914082082</v>
      </c>
      <c r="E190" s="171">
        <v>2705012.3099117763</v>
      </c>
      <c r="F190" s="172">
        <v>634.23030132370798</v>
      </c>
    </row>
    <row r="191" spans="2:6" x14ac:dyDescent="0.25">
      <c r="D191" s="171"/>
      <c r="E191" s="171"/>
      <c r="F191" s="171"/>
    </row>
    <row r="192" spans="2:6" x14ac:dyDescent="0.25">
      <c r="B192" s="171" t="s">
        <v>301</v>
      </c>
      <c r="C192" s="171"/>
      <c r="D192" s="171"/>
      <c r="E192" s="171"/>
      <c r="F192" s="171"/>
    </row>
    <row r="193" spans="3:6" x14ac:dyDescent="0.25">
      <c r="C193" s="254">
        <v>1</v>
      </c>
      <c r="D193" s="171">
        <v>676626.32252299238</v>
      </c>
      <c r="E193" s="171">
        <v>2704986.4091426833</v>
      </c>
      <c r="F193" s="172">
        <v>634.91684734710009</v>
      </c>
    </row>
    <row r="194" spans="3:6" x14ac:dyDescent="0.25">
      <c r="C194" s="254">
        <v>2</v>
      </c>
      <c r="D194" s="171">
        <v>676626.32252299238</v>
      </c>
      <c r="E194" s="171">
        <v>2704986.4091426833</v>
      </c>
      <c r="F194" s="172">
        <v>634.66684734710009</v>
      </c>
    </row>
    <row r="195" spans="3:6" x14ac:dyDescent="0.25">
      <c r="C195" s="254">
        <v>3</v>
      </c>
      <c r="D195" s="171">
        <v>676626.80070908915</v>
      </c>
      <c r="E195" s="171">
        <v>2704987.2874012198</v>
      </c>
      <c r="F195" s="172">
        <v>634.61084734710016</v>
      </c>
    </row>
    <row r="196" spans="3:6" x14ac:dyDescent="0.25">
      <c r="C196" s="254">
        <v>4</v>
      </c>
      <c r="D196" s="171">
        <v>676627.97226502595</v>
      </c>
      <c r="E196" s="171">
        <v>2704989.4391346341</v>
      </c>
      <c r="F196" s="172">
        <v>633.9236473471002</v>
      </c>
    </row>
    <row r="197" spans="3:6" x14ac:dyDescent="0.25">
      <c r="C197" s="254">
        <v>5</v>
      </c>
      <c r="D197" s="171">
        <v>676627.99617433082</v>
      </c>
      <c r="E197" s="171">
        <v>2704989.4830475613</v>
      </c>
      <c r="F197" s="172">
        <v>633.22084734710006</v>
      </c>
    </row>
    <row r="198" spans="3:6" x14ac:dyDescent="0.25">
      <c r="C198" s="254">
        <v>6</v>
      </c>
      <c r="D198" s="171">
        <v>676629.66982566915</v>
      </c>
      <c r="E198" s="171">
        <v>2704992.5569524388</v>
      </c>
      <c r="F198" s="172">
        <v>633.02484734710015</v>
      </c>
    </row>
    <row r="199" spans="3:6" x14ac:dyDescent="0.25">
      <c r="C199" s="254">
        <v>7</v>
      </c>
      <c r="D199" s="171">
        <v>676629.69373497402</v>
      </c>
      <c r="E199" s="171">
        <v>2704992.6008653659</v>
      </c>
      <c r="F199" s="172">
        <v>633.7220473471001</v>
      </c>
    </row>
    <row r="200" spans="3:6" x14ac:dyDescent="0.25">
      <c r="C200" s="254">
        <v>8</v>
      </c>
      <c r="D200" s="171">
        <v>676630.86529091082</v>
      </c>
      <c r="E200" s="171">
        <v>2704994.7525987802</v>
      </c>
      <c r="F200" s="172">
        <v>634.13484734710005</v>
      </c>
    </row>
    <row r="201" spans="3:6" x14ac:dyDescent="0.25">
      <c r="C201" s="254">
        <v>9</v>
      </c>
      <c r="D201" s="171">
        <v>676631.34347700758</v>
      </c>
      <c r="E201" s="171">
        <v>2704995.6308573168</v>
      </c>
      <c r="F201" s="172">
        <v>634.07884734710012</v>
      </c>
    </row>
    <row r="202" spans="3:6" x14ac:dyDescent="0.25">
      <c r="C202" s="254">
        <v>10</v>
      </c>
      <c r="D202" s="171">
        <v>676631.34347700758</v>
      </c>
      <c r="E202" s="171">
        <v>2704995.6308573168</v>
      </c>
      <c r="F202" s="172">
        <v>634.32884734710012</v>
      </c>
    </row>
    <row r="203" spans="3:6" x14ac:dyDescent="0.25">
      <c r="D203" s="171"/>
      <c r="E203" s="171"/>
      <c r="F203" s="171"/>
    </row>
  </sheetData>
  <phoneticPr fontId="4" type="noConversion"/>
  <printOptions horizontalCentered="1"/>
  <pageMargins left="0.25" right="0.25" top="0.75" bottom="0.75" header="0.3" footer="0.3"/>
  <pageSetup paperSize="8" scale="40" orientation="landscape" r:id="rId2"/>
  <headerFooter>
    <oddFooter xml:space="preserve">&amp;L&amp;"Consolas,Regular"&amp;9&amp;K00-049Developed by Engr. Muhammad Bayoumi Ali | E-mail: muhammad.bayoumi.ali@gmail.com | LinkedIn: linkedin.com/in/muhammad-bayoumi-ali </oddFooter>
  </headerFooter>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7F00E9-0F35-4B35-BF9A-A20D753AE3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User Manual</vt:lpstr>
      <vt:lpstr>(01) Profile Data</vt:lpstr>
      <vt:lpstr>Elevation Lookup by Station</vt:lpstr>
      <vt:lpstr>(02) Superstructure Data</vt:lpstr>
      <vt:lpstr>(03) Substructure Data</vt:lpstr>
      <vt:lpstr>Level Verification Calculations</vt:lpstr>
      <vt:lpstr>Customize Outputs</vt:lpstr>
      <vt:lpstr>Level Verification</vt:lpstr>
      <vt:lpstr>(04) Coordinate Data</vt:lpstr>
      <vt:lpstr>(05) Section_Properties</vt:lpstr>
      <vt:lpstr>Points</vt:lpstr>
      <vt:lpstr>'(01) Profile Data'!Print_Area</vt:lpstr>
      <vt:lpstr>'(02) Superstructure Data'!Print_Area</vt:lpstr>
      <vt:lpstr>'(03) Substructure Data'!Print_Area</vt:lpstr>
      <vt:lpstr>'(04) Coordinate Data'!Print_Area</vt:lpstr>
      <vt:lpstr>'(05) Section_Properties'!Print_Area</vt:lpstr>
      <vt:lpstr>'Customize Outputs'!Print_Area</vt:lpstr>
      <vt:lpstr>'Elevation Lookup by Station'!Print_Area</vt:lpstr>
      <vt:lpstr>'Level Verification'!Print_Area</vt:lpstr>
      <vt:lpstr>'Level Verification Calculations'!Print_Area</vt:lpstr>
      <vt:lpstr>Points!Print_Area</vt:lpstr>
      <vt:lpstr>'User Manual'!Print_Area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station-elevation</dc:title>
  <dc:creator>Muhammad Bayoumi</dc:creator>
  <cp:keywords>mbi</cp:keywords>
  <cp:lastModifiedBy>Muhammad Bayoumi</cp:lastModifiedBy>
  <cp:lastPrinted>2025-10-29T12:18:54Z</cp:lastPrinted>
  <dcterms:created xsi:type="dcterms:W3CDTF">2025-07-15T04:57:16Z</dcterms:created>
  <dcterms:modified xsi:type="dcterms:W3CDTF">2025-11-20T08:03:17Z</dcterms:modified>
  <cp:category>mbi-sheet</cp:category>
</cp:coreProperties>
</file>