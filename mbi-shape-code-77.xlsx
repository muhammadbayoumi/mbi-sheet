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93964578465e7ef/mbi - ContentHub/Spiral/"/>
    </mc:Choice>
  </mc:AlternateContent>
  <xr:revisionPtr revIDLastSave="501" documentId="8_{6883E34E-D46A-4798-926F-83FDA3BE3600}" xr6:coauthVersionLast="47" xr6:coauthVersionMax="47" xr10:uidLastSave="{0408DD31-60D4-4F93-8447-46C57C9483FC}"/>
  <workbookProtection workbookAlgorithmName="SHA-512" workbookHashValue="m7TuGyW01D8Hih2MhjD8Z5IcmTAEzk5CkJEpQhAZNyZ6nHHcPCUgutr2LVHEoynoS4nsXAx78qKb5nin6IhEtQ==" workbookSaltValue="wtdbLAdD0iMKNBUSA7k3ww==" workbookSpinCount="100000" lockStructure="1"/>
  <bookViews>
    <workbookView xWindow="-120" yWindow="-120" windowWidth="29040" windowHeight="15720" tabRatio="531" xr2:uid="{AF061347-0FD4-4018-BA1D-D4FD9CFEC2E5}"/>
  </bookViews>
  <sheets>
    <sheet name="Spiral Rebar Detailing Tool" sheetId="1" r:id="rId1"/>
  </sheets>
  <definedNames>
    <definedName name="_xlnm.Print_Area" localSheetId="0">'Spiral Rebar Detailing Tool'!$A$1:$U$98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27" i="1" l="1"/>
  <c r="D32" i="1"/>
  <c r="D29" i="1"/>
  <c r="D40" i="1" l="1"/>
</calcChain>
</file>

<file path=xl/sharedStrings.xml><?xml version="1.0" encoding="utf-8"?>
<sst xmlns="http://schemas.openxmlformats.org/spreadsheetml/2006/main" count="40" uniqueCount="31">
  <si>
    <t>helix pitch, B</t>
  </si>
  <si>
    <t>mm</t>
  </si>
  <si>
    <t>helix length in plane, H</t>
  </si>
  <si>
    <t>no. of turns, C</t>
  </si>
  <si>
    <t>helix outer diameter, A</t>
  </si>
  <si>
    <t>Input</t>
  </si>
  <si>
    <t>Output</t>
  </si>
  <si>
    <t>Φ</t>
  </si>
  <si>
    <t>spiral bar length= no. of turns * circumference of a circle</t>
  </si>
  <si>
    <t>Standard shapes, their method of measurement and calculation of length</t>
  </si>
  <si>
    <t>Total Length of Bar, L measured along centre line</t>
  </si>
  <si>
    <t>Where B is greater than A/5 this equation no longer applies, in which case the following formula may be used:</t>
  </si>
  <si>
    <r>
      <t>L=C((π(A-d))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charset val="178"/>
        <scheme val="minor"/>
      </rPr>
      <t>+B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charset val="178"/>
        <scheme val="minor"/>
      </rPr>
      <t>)</t>
    </r>
    <r>
      <rPr>
        <vertAlign val="superscript"/>
        <sz val="11"/>
        <color theme="1"/>
        <rFont val="Calibri"/>
        <family val="2"/>
        <scheme val="minor"/>
      </rPr>
      <t>0.5</t>
    </r>
  </si>
  <si>
    <t>L=Cπ(A-d)</t>
  </si>
  <si>
    <t>Shape parameters</t>
  </si>
  <si>
    <t>Element Geometry</t>
  </si>
  <si>
    <t>Reinforcement Data</t>
  </si>
  <si>
    <t>Spiral Bar Length, L</t>
  </si>
  <si>
    <t>no. of bars</t>
  </si>
  <si>
    <t>structure element diameter</t>
  </si>
  <si>
    <t>concrete cover</t>
  </si>
  <si>
    <t>spiral stirrups distribution length</t>
  </si>
  <si>
    <t>spiral bar Ø diameter, d</t>
  </si>
  <si>
    <t>lap splice</t>
  </si>
  <si>
    <t>Number of bars required to cover spiral stirrups distribution length</t>
  </si>
  <si>
    <t>Spiral Reinforcement Detailing Sheet – Shape Code 77</t>
  </si>
  <si>
    <t>The sheet computes the helical (spiral) reinforcement geometry and the number of spiral bars required to cover a given distribution length on a concrete element (Shape Code 77, per BS 8666:2005).</t>
  </si>
  <si>
    <t>Autocad structural detailing, ASD</t>
  </si>
  <si>
    <t xml:space="preserve">Reference:  BS 8666:2005 Scheduling, dimensioning, bending and cutting of steel reinforcement for concrete </t>
  </si>
  <si>
    <t xml:space="preserve">Shape Diagram </t>
  </si>
  <si>
    <t>This section describes the essential steps required to prepare and generate structural shop drawings using AutoCAD Structural Detailing (ASD).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</si>
</sst>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sz val="11"/>
      <color rgb="FF3C3C3C"/>
      <name val="Calibri"/>
      <family val="2"/>
      <scheme val="minor"/>
    </font>
    <font>
      <sz val="8"/>
      <color theme="1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sz val="11"/>
      <color rgb="FF4D5156"/>
      <name val="Arial"/>
      <family val="2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22"/>
      <color theme="9"/>
      <name val="Calibri"/>
      <family val="2"/>
      <charset val="178"/>
      <scheme val="minor"/>
    </font>
    <font>
      <sz val="11"/>
      <color theme="0" tint="-4.9989318521683403E-2"/>
      <name val="Calibri"/>
      <family val="2"/>
      <charset val="178"/>
      <scheme val="minor"/>
    </font>
    <font>
      <i/>
      <sz val="11"/>
      <color theme="0" tint="-4.9989318521683403E-2"/>
      <name val="Calibri"/>
      <family val="2"/>
      <charset val="178"/>
      <scheme val="minor"/>
    </font>
    <font>
      <i/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24"/>
      <color theme="4"/>
      <name val="Consolas"/>
      <family val="3"/>
    </font>
    <font>
      <b/>
      <sz val="36"/>
      <color theme="4"/>
      <name val="Consolas"/>
      <family val="3"/>
    </font>
    <font>
      <i/>
      <sz val="11"/>
      <color theme="0" tint="-0.499984740745262"/>
      <name val="Consolas"/>
      <family val="3"/>
    </font>
    <font>
      <b/>
      <i/>
      <sz val="11"/>
      <color theme="0" tint="-0.499984740745262"/>
      <name val="Consolas"/>
      <family val="3"/>
    </font>
    <font>
      <b/>
      <sz val="24"/>
      <color theme="9"/>
      <name val="Consolas"/>
      <family val="3"/>
    </font>
    <font>
      <sz val="11"/>
      <color theme="4"/>
      <name val="Calibri"/>
      <family val="2"/>
      <charset val="178"/>
      <scheme val="minor"/>
    </font>
    <font>
      <i/>
      <sz val="11"/>
      <color theme="4"/>
      <name val="Calibri"/>
      <family val="2"/>
      <charset val="17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2" borderId="2" applyNumberFormat="0" applyAlignment="0" applyProtection="0"/>
    <xf numFmtId="0" fontId="6" fillId="0" borderId="0" applyNumberFormat="0" applyFill="0" applyBorder="0" applyAlignment="0" applyProtection="0"/>
    <xf numFmtId="0" fontId="1" fillId="5" borderId="0" applyNumberFormat="0" applyBorder="0" applyAlignment="0" applyProtection="0"/>
  </cellStyleXfs>
  <cellXfs count="45">
    <xf numFmtId="0" fontId="0" fillId="0" borderId="0" xfId="0"/>
    <xf numFmtId="0" fontId="0" fillId="3" borderId="0" xfId="0" applyFill="1" applyProtection="1">
      <protection hidden="1"/>
    </xf>
    <xf numFmtId="0" fontId="0" fillId="3" borderId="3" xfId="0" applyFill="1" applyBorder="1" applyProtection="1">
      <protection hidden="1"/>
    </xf>
    <xf numFmtId="0" fontId="0" fillId="3" borderId="4" xfId="0" applyFill="1" applyBorder="1" applyProtection="1">
      <protection hidden="1"/>
    </xf>
    <xf numFmtId="0" fontId="0" fillId="3" borderId="5" xfId="0" applyFill="1" applyBorder="1" applyProtection="1">
      <protection hidden="1"/>
    </xf>
    <xf numFmtId="0" fontId="0" fillId="7" borderId="0" xfId="0" applyFill="1" applyProtection="1">
      <protection hidden="1"/>
    </xf>
    <xf numFmtId="0" fontId="0" fillId="4" borderId="0" xfId="0" applyFill="1" applyProtection="1">
      <protection hidden="1"/>
    </xf>
    <xf numFmtId="0" fontId="0" fillId="6" borderId="0" xfId="0" applyFill="1" applyProtection="1">
      <protection hidden="1"/>
    </xf>
    <xf numFmtId="0" fontId="11" fillId="4" borderId="0" xfId="0" applyFont="1" applyFill="1" applyProtection="1">
      <protection hidden="1"/>
    </xf>
    <xf numFmtId="0" fontId="11" fillId="4" borderId="6" xfId="0" applyFont="1" applyFill="1" applyBorder="1" applyProtection="1">
      <protection hidden="1"/>
    </xf>
    <xf numFmtId="0" fontId="12" fillId="4" borderId="0" xfId="3" applyFont="1" applyFill="1" applyBorder="1" applyProtection="1">
      <protection hidden="1"/>
    </xf>
    <xf numFmtId="0" fontId="11" fillId="4" borderId="7" xfId="0" applyFont="1" applyFill="1" applyBorder="1" applyProtection="1">
      <protection hidden="1"/>
    </xf>
    <xf numFmtId="0" fontId="11" fillId="7" borderId="0" xfId="0" applyFont="1" applyFill="1" applyProtection="1">
      <protection hidden="1"/>
    </xf>
    <xf numFmtId="0" fontId="11" fillId="6" borderId="0" xfId="0" applyFont="1" applyFill="1" applyProtection="1">
      <protection hidden="1"/>
    </xf>
    <xf numFmtId="0" fontId="10" fillId="4" borderId="0" xfId="0" applyFont="1" applyFill="1" applyProtection="1">
      <protection hidden="1"/>
    </xf>
    <xf numFmtId="0" fontId="10" fillId="4" borderId="6" xfId="0" applyFont="1" applyFill="1" applyBorder="1" applyProtection="1">
      <protection hidden="1"/>
    </xf>
    <xf numFmtId="0" fontId="19" fillId="4" borderId="0" xfId="0" applyFont="1" applyFill="1" applyProtection="1">
      <protection hidden="1"/>
    </xf>
    <xf numFmtId="0" fontId="10" fillId="4" borderId="7" xfId="0" applyFont="1" applyFill="1" applyBorder="1" applyProtection="1">
      <protection hidden="1"/>
    </xf>
    <xf numFmtId="0" fontId="10" fillId="7" borderId="0" xfId="0" applyFont="1" applyFill="1" applyProtection="1">
      <protection hidden="1"/>
    </xf>
    <xf numFmtId="0" fontId="16" fillId="7" borderId="0" xfId="0" applyFont="1" applyFill="1" applyProtection="1">
      <protection hidden="1"/>
    </xf>
    <xf numFmtId="0" fontId="10" fillId="6" borderId="0" xfId="0" applyFont="1" applyFill="1" applyProtection="1">
      <protection hidden="1"/>
    </xf>
    <xf numFmtId="0" fontId="0" fillId="3" borderId="6" xfId="0" applyFill="1" applyBorder="1" applyProtection="1">
      <protection hidden="1"/>
    </xf>
    <xf numFmtId="0" fontId="0" fillId="3" borderId="7" xfId="0" applyFill="1" applyBorder="1" applyProtection="1">
      <protection hidden="1"/>
    </xf>
    <xf numFmtId="0" fontId="8" fillId="3" borderId="0" xfId="0" applyFont="1" applyFill="1" applyProtection="1">
      <protection hidden="1"/>
    </xf>
    <xf numFmtId="0" fontId="4" fillId="3" borderId="0" xfId="0" applyFont="1" applyFill="1" applyProtection="1">
      <protection hidden="1"/>
    </xf>
    <xf numFmtId="0" fontId="1" fillId="5" borderId="1" xfId="4" applyBorder="1" applyProtection="1">
      <protection hidden="1"/>
    </xf>
    <xf numFmtId="0" fontId="3" fillId="2" borderId="2" xfId="2" applyProtection="1">
      <protection hidden="1"/>
    </xf>
    <xf numFmtId="0" fontId="13" fillId="3" borderId="0" xfId="0" applyFont="1" applyFill="1" applyProtection="1">
      <protection hidden="1"/>
    </xf>
    <xf numFmtId="0" fontId="2" fillId="6" borderId="0" xfId="1" applyFill="1" applyBorder="1" applyProtection="1">
      <protection hidden="1"/>
    </xf>
    <xf numFmtId="0" fontId="14" fillId="3" borderId="0" xfId="0" applyFont="1" applyFill="1" applyProtection="1">
      <protection hidden="1"/>
    </xf>
    <xf numFmtId="0" fontId="2" fillId="3" borderId="0" xfId="1" applyFill="1" applyBorder="1" applyProtection="1">
      <protection hidden="1"/>
    </xf>
    <xf numFmtId="0" fontId="5" fillId="3" borderId="0" xfId="0" applyFont="1" applyFill="1" applyProtection="1">
      <protection hidden="1"/>
    </xf>
    <xf numFmtId="0" fontId="5" fillId="3" borderId="7" xfId="0" applyFont="1" applyFill="1" applyBorder="1" applyProtection="1">
      <protection hidden="1"/>
    </xf>
    <xf numFmtId="2" fontId="0" fillId="3" borderId="0" xfId="0" applyNumberFormat="1" applyFill="1" applyProtection="1">
      <protection hidden="1"/>
    </xf>
    <xf numFmtId="0" fontId="7" fillId="0" borderId="0" xfId="0" applyFont="1" applyProtection="1">
      <protection hidden="1"/>
    </xf>
    <xf numFmtId="1" fontId="3" fillId="2" borderId="2" xfId="2" applyNumberFormat="1" applyProtection="1">
      <protection hidden="1"/>
    </xf>
    <xf numFmtId="0" fontId="0" fillId="3" borderId="8" xfId="0" applyFill="1" applyBorder="1" applyProtection="1">
      <protection hidden="1"/>
    </xf>
    <xf numFmtId="0" fontId="0" fillId="3" borderId="9" xfId="0" applyFill="1" applyBorder="1" applyProtection="1">
      <protection hidden="1"/>
    </xf>
    <xf numFmtId="0" fontId="0" fillId="3" borderId="10" xfId="0" applyFill="1" applyBorder="1" applyProtection="1">
      <protection hidden="1"/>
    </xf>
    <xf numFmtId="0" fontId="17" fillId="3" borderId="0" xfId="0" applyFont="1" applyFill="1" applyProtection="1">
      <protection hidden="1"/>
    </xf>
    <xf numFmtId="0" fontId="18" fillId="3" borderId="0" xfId="0" applyFont="1" applyFill="1" applyProtection="1">
      <protection hidden="1"/>
    </xf>
    <xf numFmtId="0" fontId="20" fillId="7" borderId="0" xfId="0" applyFont="1" applyFill="1" applyProtection="1">
      <protection hidden="1"/>
    </xf>
    <xf numFmtId="0" fontId="15" fillId="7" borderId="0" xfId="0" applyFont="1" applyFill="1" applyProtection="1">
      <protection hidden="1"/>
    </xf>
    <xf numFmtId="0" fontId="21" fillId="7" borderId="0" xfId="3" applyFont="1" applyFill="1" applyBorder="1" applyProtection="1">
      <protection hidden="1"/>
    </xf>
    <xf numFmtId="0" fontId="1" fillId="5" borderId="1" xfId="4" applyBorder="1" applyProtection="1">
      <protection locked="0"/>
    </xf>
  </cellXfs>
  <cellStyles count="5">
    <cellStyle name="60% - Accent6" xfId="4" builtinId="52"/>
    <cellStyle name="Explanatory Text" xfId="3" builtinId="53"/>
    <cellStyle name="Heading 4" xfId="1" builtinId="19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885825</xdr:colOff>
      <xdr:row>6</xdr:row>
      <xdr:rowOff>114302</xdr:rowOff>
    </xdr:from>
    <xdr:to>
      <xdr:col>2</xdr:col>
      <xdr:colOff>2686050</xdr:colOff>
      <xdr:row>9</xdr:row>
      <xdr:rowOff>91549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B26129-AFEE-F613-568B-521C8B9B0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7825" y="1647827"/>
          <a:ext cx="1800225" cy="891647"/>
        </a:xfrm>
        <a:prstGeom prst="rect">
          <a:avLst/>
        </a:prstGeom>
        <a:ln w="12700"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10</xdr:col>
      <xdr:colOff>580762</xdr:colOff>
      <xdr:row>17</xdr:row>
      <xdr:rowOff>9527</xdr:rowOff>
    </xdr:from>
    <xdr:to>
      <xdr:col>17</xdr:col>
      <xdr:colOff>390525</xdr:colOff>
      <xdr:row>41</xdr:row>
      <xdr:rowOff>161121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A553BE1-72E6-DAFB-1687-61D85C73FD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1720" t="19322" r="23004" b="13878"/>
        <a:stretch>
          <a:fillRect/>
        </a:stretch>
      </xdr:blipFill>
      <xdr:spPr>
        <a:xfrm>
          <a:off x="6667237" y="3771902"/>
          <a:ext cx="4838963" cy="4133044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twoCellAnchor>
    <xdr:from>
      <xdr:col>3</xdr:col>
      <xdr:colOff>157590</xdr:colOff>
      <xdr:row>68</xdr:row>
      <xdr:rowOff>47907</xdr:rowOff>
    </xdr:from>
    <xdr:to>
      <xdr:col>9</xdr:col>
      <xdr:colOff>210018</xdr:colOff>
      <xdr:row>78</xdr:row>
      <xdr:rowOff>162092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D7E44B69-5E51-4FC5-0D80-4FAAD5FB1055}"/>
            </a:ext>
          </a:extLst>
        </xdr:cNvPr>
        <xdr:cNvCxnSpPr>
          <a:stCxn id="3" idx="2"/>
          <a:endCxn id="5" idx="3"/>
        </xdr:cNvCxnSpPr>
      </xdr:nvCxnSpPr>
      <xdr:spPr>
        <a:xfrm rot="16200000" flipH="1">
          <a:off x="3893849" y="13523323"/>
          <a:ext cx="2019185" cy="1585953"/>
        </a:xfrm>
        <a:prstGeom prst="bentConnector4">
          <a:avLst>
            <a:gd name="adj1" fmla="val 20277"/>
            <a:gd name="adj2" fmla="val 207529"/>
          </a:avLst>
        </a:prstGeom>
        <a:ln w="571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57</xdr:row>
      <xdr:rowOff>114300</xdr:rowOff>
    </xdr:from>
    <xdr:to>
      <xdr:col>11</xdr:col>
      <xdr:colOff>362805</xdr:colOff>
      <xdr:row>68</xdr:row>
      <xdr:rowOff>47908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7C08852D-155F-0ADC-4BFE-3E4214562B94}"/>
            </a:ext>
          </a:extLst>
        </xdr:cNvPr>
        <xdr:cNvGrpSpPr/>
      </xdr:nvGrpSpPr>
      <xdr:grpSpPr>
        <a:xfrm>
          <a:off x="1047750" y="11277600"/>
          <a:ext cx="6125430" cy="2029108"/>
          <a:chOff x="819150" y="10182225"/>
          <a:chExt cx="6125430" cy="202910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92431D45-CBCC-7585-06BA-848D0678B8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19150" y="10182225"/>
            <a:ext cx="6125430" cy="2029108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AE2CC0AE-0CB8-BF92-17FB-A6393FDE95E3}"/>
              </a:ext>
            </a:extLst>
          </xdr:cNvPr>
          <xdr:cNvSpPr/>
        </xdr:nvSpPr>
        <xdr:spPr>
          <a:xfrm>
            <a:off x="4314825" y="11315700"/>
            <a:ext cx="1114425" cy="190500"/>
          </a:xfrm>
          <a:prstGeom prst="roundRect">
            <a:avLst/>
          </a:prstGeom>
          <a:noFill/>
          <a:ln w="38100">
            <a:solidFill>
              <a:srgbClr val="C00000"/>
            </a:solidFill>
            <a:prstDash val="soli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1581150</xdr:colOff>
      <xdr:row>72</xdr:row>
      <xdr:rowOff>104775</xdr:rowOff>
    </xdr:from>
    <xdr:to>
      <xdr:col>9</xdr:col>
      <xdr:colOff>210018</xdr:colOff>
      <xdr:row>85</xdr:row>
      <xdr:rowOff>28910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8F7D24C4-A1E5-645F-47F2-D506E2A18733}"/>
            </a:ext>
          </a:extLst>
        </xdr:cNvPr>
        <xdr:cNvGrpSpPr/>
      </xdr:nvGrpSpPr>
      <xdr:grpSpPr>
        <a:xfrm>
          <a:off x="2343150" y="14125575"/>
          <a:ext cx="3353268" cy="2400635"/>
          <a:chOff x="6838950" y="11039475"/>
          <a:chExt cx="3353268" cy="2400635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715F17B1-E58A-3E8B-003E-6C7B100A1F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838950" y="11039475"/>
            <a:ext cx="3353268" cy="2400635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2B356E30-220C-3AFF-F6AF-CF47F57F7F67}"/>
              </a:ext>
            </a:extLst>
          </xdr:cNvPr>
          <xdr:cNvSpPr/>
        </xdr:nvSpPr>
        <xdr:spPr>
          <a:xfrm>
            <a:off x="8477249" y="11515725"/>
            <a:ext cx="1095375" cy="762000"/>
          </a:xfrm>
          <a:prstGeom prst="rect">
            <a:avLst/>
          </a:prstGeom>
          <a:noFill/>
          <a:ln w="38100">
            <a:solidFill>
              <a:srgbClr val="C00000"/>
            </a:solidFill>
            <a:prstDash val="soli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12</xdr:col>
      <xdr:colOff>381000</xdr:colOff>
      <xdr:row>58</xdr:row>
      <xdr:rowOff>76200</xdr:rowOff>
    </xdr:from>
    <xdr:to>
      <xdr:col>19</xdr:col>
      <xdr:colOff>314588</xdr:colOff>
      <xdr:row>80</xdr:row>
      <xdr:rowOff>18244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7E90313-19B8-4119-89BF-DA0662D579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1720" t="19322" r="23004" b="13878"/>
        <a:stretch>
          <a:fillRect/>
        </a:stretch>
      </xdr:blipFill>
      <xdr:spPr>
        <a:xfrm>
          <a:off x="7791450" y="11239500"/>
          <a:ext cx="4838963" cy="413304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3</xdr:col>
      <xdr:colOff>66908</xdr:colOff>
      <xdr:row>85</xdr:row>
      <xdr:rowOff>28910</xdr:rowOff>
    </xdr:from>
    <xdr:to>
      <xdr:col>10</xdr:col>
      <xdr:colOff>171449</xdr:colOff>
      <xdr:row>90</xdr:row>
      <xdr:rowOff>176354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16681D4F-71D9-6971-243A-3A8EE7A65E67}"/>
            </a:ext>
          </a:extLst>
        </xdr:cNvPr>
        <xdr:cNvCxnSpPr>
          <a:stCxn id="5" idx="2"/>
          <a:endCxn id="24" idx="1"/>
        </xdr:cNvCxnSpPr>
      </xdr:nvCxnSpPr>
      <xdr:spPr>
        <a:xfrm rot="16200000" flipH="1">
          <a:off x="4588882" y="15957111"/>
          <a:ext cx="1099944" cy="2238141"/>
        </a:xfrm>
        <a:prstGeom prst="bentConnector2">
          <a:avLst/>
        </a:prstGeom>
        <a:ln w="571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171450</xdr:colOff>
      <xdr:row>85</xdr:row>
      <xdr:rowOff>114300</xdr:rowOff>
    </xdr:from>
    <xdr:to>
      <xdr:col>19</xdr:col>
      <xdr:colOff>67530</xdr:colOff>
      <xdr:row>96</xdr:row>
      <xdr:rowOff>47908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EC29ED07-0D11-D889-9100-E2C6A4921D9A}"/>
            </a:ext>
          </a:extLst>
        </xdr:cNvPr>
        <xdr:cNvGrpSpPr/>
      </xdr:nvGrpSpPr>
      <xdr:grpSpPr>
        <a:xfrm>
          <a:off x="6257925" y="16611600"/>
          <a:ext cx="6125430" cy="2029108"/>
          <a:chOff x="723900" y="15573375"/>
          <a:chExt cx="6125430" cy="2029108"/>
        </a:xfrm>
      </xdr:grpSpPr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BB1DDEFA-D87D-D6E9-B58D-6AC85B797E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3900" y="15573375"/>
            <a:ext cx="6125430" cy="2029108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  <xdr:sp macro="" textlink="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94555826-F782-4F04-493A-CC7E7D9C7F5F}"/>
              </a:ext>
            </a:extLst>
          </xdr:cNvPr>
          <xdr:cNvSpPr/>
        </xdr:nvSpPr>
        <xdr:spPr>
          <a:xfrm>
            <a:off x="5648325" y="16573500"/>
            <a:ext cx="685800" cy="323849"/>
          </a:xfrm>
          <a:prstGeom prst="roundRect">
            <a:avLst/>
          </a:prstGeom>
          <a:noFill/>
          <a:ln w="38100">
            <a:solidFill>
              <a:srgbClr val="C00000"/>
            </a:solidFill>
            <a:prstDash val="soli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15</xdr:col>
      <xdr:colOff>295407</xdr:colOff>
      <xdr:row>80</xdr:row>
      <xdr:rowOff>18244</xdr:rowOff>
    </xdr:from>
    <xdr:to>
      <xdr:col>19</xdr:col>
      <xdr:colOff>67530</xdr:colOff>
      <xdr:row>90</xdr:row>
      <xdr:rowOff>176354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1A76B006-E4D5-6ACB-E21A-165BBF5A1E78}"/>
            </a:ext>
          </a:extLst>
        </xdr:cNvPr>
        <xdr:cNvCxnSpPr>
          <a:stCxn id="24" idx="3"/>
          <a:endCxn id="20" idx="2"/>
        </xdr:cNvCxnSpPr>
      </xdr:nvCxnSpPr>
      <xdr:spPr>
        <a:xfrm flipH="1" flipV="1">
          <a:off x="10210932" y="15563044"/>
          <a:ext cx="2172423" cy="2063110"/>
        </a:xfrm>
        <a:prstGeom prst="bentConnector4">
          <a:avLst>
            <a:gd name="adj1" fmla="val -10523"/>
            <a:gd name="adj2" fmla="val 74588"/>
          </a:avLst>
        </a:prstGeom>
        <a:ln w="5715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mbi-shee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1B25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08EB69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AB99-D17D-4E45-80C5-1D0D27EB27B2}">
  <sheetPr codeName="Sheet2"/>
  <dimension ref="A2:BW98"/>
  <sheetViews>
    <sheetView tabSelected="1" view="pageBreakPreview" zoomScaleNormal="100" zoomScaleSheetLayoutView="100" workbookViewId="0">
      <selection activeCell="H28" sqref="H28"/>
    </sheetView>
  </sheetViews>
  <sheetFormatPr defaultColWidth="9" defaultRowHeight="15" x14ac:dyDescent="0.25"/>
  <cols>
    <col min="1" max="1" width="9" style="1"/>
    <col min="2" max="2" width="2.42578125" style="1" customWidth="1"/>
    <col min="3" max="3" width="47.85546875" style="1" customWidth="1"/>
    <col min="4" max="4" width="8.7109375" style="1" customWidth="1"/>
    <col min="5" max="5" width="2.85546875" style="1" bestFit="1" customWidth="1"/>
    <col min="6" max="9" width="2.85546875" style="1" customWidth="1"/>
    <col min="10" max="10" width="9" style="1"/>
    <col min="11" max="11" width="10.85546875" style="1" bestFit="1" customWidth="1"/>
    <col min="12" max="13" width="9" style="1"/>
    <col min="14" max="14" width="19.5703125" style="1" bestFit="1" customWidth="1"/>
    <col min="15" max="21" width="9" style="1"/>
    <col min="22" max="48" width="9" style="5"/>
    <col min="49" max="75" width="9" style="6"/>
    <col min="76" max="16384" width="9" style="7"/>
  </cols>
  <sheetData>
    <row r="2" spans="1:75" x14ac:dyDescent="0.25">
      <c r="B2" s="2"/>
      <c r="C2" s="3"/>
      <c r="D2" s="3"/>
      <c r="E2" s="3"/>
      <c r="F2" s="4"/>
    </row>
    <row r="3" spans="1:75" s="13" customFormat="1" x14ac:dyDescent="0.25">
      <c r="A3" s="8"/>
      <c r="B3" s="9"/>
      <c r="C3" s="10"/>
      <c r="D3" s="8"/>
      <c r="E3" s="8"/>
      <c r="F3" s="1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</row>
    <row r="4" spans="1:75" s="20" customFormat="1" ht="45.75" x14ac:dyDescent="0.65">
      <c r="A4" s="14"/>
      <c r="B4" s="15"/>
      <c r="C4" s="16" t="s">
        <v>25</v>
      </c>
      <c r="D4" s="14"/>
      <c r="E4" s="14"/>
      <c r="F4" s="17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8"/>
      <c r="W4" s="19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</row>
    <row r="5" spans="1:75" s="13" customFormat="1" x14ac:dyDescent="0.25">
      <c r="A5" s="8"/>
      <c r="B5" s="9"/>
      <c r="C5" s="10" t="s">
        <v>26</v>
      </c>
      <c r="D5" s="8"/>
      <c r="E5" s="8"/>
      <c r="F5" s="11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</row>
    <row r="6" spans="1:75" s="13" customFormat="1" x14ac:dyDescent="0.25">
      <c r="A6" s="8"/>
      <c r="B6" s="9"/>
      <c r="C6" s="10"/>
      <c r="D6" s="8"/>
      <c r="E6" s="8"/>
      <c r="F6" s="11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</row>
    <row r="7" spans="1:75" ht="42" customHeight="1" x14ac:dyDescent="0.25">
      <c r="B7" s="21"/>
      <c r="F7" s="22"/>
      <c r="K7" s="23" t="s">
        <v>9</v>
      </c>
      <c r="O7" s="24"/>
    </row>
    <row r="8" spans="1:75" x14ac:dyDescent="0.25">
      <c r="B8" s="21"/>
      <c r="D8" s="25" t="s">
        <v>5</v>
      </c>
      <c r="F8" s="22"/>
    </row>
    <row r="9" spans="1:75" x14ac:dyDescent="0.25">
      <c r="B9" s="21"/>
      <c r="D9" s="26" t="s">
        <v>6</v>
      </c>
      <c r="F9" s="22"/>
      <c r="J9" s="7"/>
      <c r="K9" s="7" t="s">
        <v>10</v>
      </c>
      <c r="L9" s="7"/>
      <c r="M9" s="7"/>
      <c r="N9" s="7"/>
      <c r="O9" s="7"/>
      <c r="P9" s="7"/>
      <c r="Q9" s="7"/>
      <c r="R9" s="7"/>
      <c r="S9" s="7"/>
      <c r="T9" s="7"/>
    </row>
    <row r="10" spans="1:75" x14ac:dyDescent="0.25">
      <c r="B10" s="21"/>
      <c r="F10" s="22"/>
      <c r="K10" s="27" t="s">
        <v>8</v>
      </c>
    </row>
    <row r="11" spans="1:75" x14ac:dyDescent="0.25">
      <c r="B11" s="21"/>
      <c r="C11" s="28" t="s">
        <v>15</v>
      </c>
      <c r="D11" s="28"/>
      <c r="E11" s="28"/>
      <c r="F11" s="22"/>
      <c r="L11" s="29" t="s">
        <v>13</v>
      </c>
    </row>
    <row r="12" spans="1:75" ht="4.5" customHeight="1" x14ac:dyDescent="0.25">
      <c r="B12" s="21"/>
      <c r="F12" s="22"/>
    </row>
    <row r="13" spans="1:75" x14ac:dyDescent="0.25">
      <c r="B13" s="21"/>
      <c r="C13" s="30" t="s">
        <v>19</v>
      </c>
      <c r="D13" s="44">
        <v>1200</v>
      </c>
      <c r="E13" s="31" t="s">
        <v>1</v>
      </c>
      <c r="F13" s="32"/>
      <c r="G13" s="31"/>
      <c r="H13" s="31"/>
      <c r="I13" s="31"/>
      <c r="L13" s="1" t="s">
        <v>11</v>
      </c>
    </row>
    <row r="14" spans="1:75" ht="17.25" x14ac:dyDescent="0.25">
      <c r="B14" s="21"/>
      <c r="C14" s="30" t="s">
        <v>20</v>
      </c>
      <c r="D14" s="44">
        <v>75</v>
      </c>
      <c r="E14" s="31" t="s">
        <v>1</v>
      </c>
      <c r="F14" s="32"/>
      <c r="G14" s="31"/>
      <c r="H14" s="31"/>
      <c r="I14" s="31"/>
      <c r="L14" s="29" t="s">
        <v>12</v>
      </c>
    </row>
    <row r="15" spans="1:75" ht="6.75" customHeight="1" x14ac:dyDescent="0.25">
      <c r="B15" s="21"/>
      <c r="C15" s="30"/>
      <c r="D15" s="30"/>
      <c r="E15" s="30"/>
      <c r="F15" s="32"/>
      <c r="G15" s="31"/>
      <c r="H15" s="31"/>
      <c r="I15" s="31"/>
    </row>
    <row r="16" spans="1:75" x14ac:dyDescent="0.25">
      <c r="B16" s="21"/>
      <c r="C16" s="30" t="s">
        <v>21</v>
      </c>
      <c r="D16" s="44">
        <v>22000</v>
      </c>
      <c r="E16" s="31" t="s">
        <v>1</v>
      </c>
      <c r="F16" s="32"/>
      <c r="G16" s="31"/>
      <c r="H16" s="31"/>
      <c r="I16" s="31"/>
      <c r="J16" s="7"/>
      <c r="K16" s="7" t="s">
        <v>29</v>
      </c>
      <c r="L16" s="7"/>
      <c r="M16" s="7"/>
      <c r="N16" s="7"/>
      <c r="O16" s="7"/>
      <c r="P16" s="7"/>
      <c r="Q16" s="7"/>
      <c r="R16" s="7"/>
      <c r="S16" s="7"/>
      <c r="T16" s="7"/>
    </row>
    <row r="17" spans="2:10" x14ac:dyDescent="0.25">
      <c r="B17" s="21"/>
      <c r="C17" s="30"/>
      <c r="D17" s="30"/>
      <c r="E17" s="31"/>
      <c r="F17" s="32"/>
      <c r="G17" s="31"/>
      <c r="H17" s="31"/>
      <c r="I17" s="31"/>
    </row>
    <row r="18" spans="2:10" x14ac:dyDescent="0.25">
      <c r="B18" s="21"/>
      <c r="C18" s="28" t="s">
        <v>16</v>
      </c>
      <c r="D18" s="28"/>
      <c r="E18" s="28"/>
      <c r="F18" s="32"/>
      <c r="G18" s="31"/>
      <c r="H18" s="31"/>
      <c r="I18" s="31"/>
    </row>
    <row r="19" spans="2:10" ht="4.5" customHeight="1" x14ac:dyDescent="0.25">
      <c r="B19" s="21"/>
      <c r="F19" s="32"/>
      <c r="G19" s="31"/>
      <c r="H19" s="31"/>
      <c r="I19" s="31"/>
    </row>
    <row r="20" spans="2:10" x14ac:dyDescent="0.25">
      <c r="B20" s="21"/>
      <c r="C20" s="30" t="s">
        <v>22</v>
      </c>
      <c r="D20" s="44">
        <v>12</v>
      </c>
      <c r="E20" s="31" t="s">
        <v>1</v>
      </c>
      <c r="F20" s="32"/>
      <c r="G20" s="31"/>
      <c r="H20" s="31"/>
      <c r="I20" s="31"/>
    </row>
    <row r="21" spans="2:10" x14ac:dyDescent="0.25">
      <c r="B21" s="21"/>
      <c r="C21" s="30" t="s">
        <v>0</v>
      </c>
      <c r="D21" s="44">
        <v>150</v>
      </c>
      <c r="E21" s="31" t="s">
        <v>1</v>
      </c>
      <c r="F21" s="32"/>
      <c r="G21" s="31"/>
      <c r="H21" s="31"/>
      <c r="I21" s="31"/>
      <c r="J21" s="33"/>
    </row>
    <row r="22" spans="2:10" ht="6.75" customHeight="1" x14ac:dyDescent="0.25">
      <c r="B22" s="21"/>
      <c r="C22" s="30"/>
      <c r="D22" s="30"/>
      <c r="E22" s="30"/>
      <c r="F22" s="32"/>
      <c r="G22" s="31"/>
      <c r="H22" s="31"/>
      <c r="I22" s="31"/>
    </row>
    <row r="23" spans="2:10" x14ac:dyDescent="0.25">
      <c r="B23" s="21"/>
      <c r="C23" s="30" t="s">
        <v>23</v>
      </c>
      <c r="D23" s="44">
        <v>60</v>
      </c>
      <c r="E23" s="34" t="s">
        <v>7</v>
      </c>
      <c r="F23" s="32"/>
      <c r="G23" s="31"/>
      <c r="H23" s="31"/>
      <c r="I23" s="31"/>
    </row>
    <row r="24" spans="2:10" x14ac:dyDescent="0.25">
      <c r="B24" s="21"/>
      <c r="F24" s="22"/>
    </row>
    <row r="25" spans="2:10" x14ac:dyDescent="0.25">
      <c r="B25" s="21"/>
      <c r="C25" s="28" t="s">
        <v>14</v>
      </c>
      <c r="D25" s="28"/>
      <c r="E25" s="28"/>
      <c r="F25" s="22"/>
    </row>
    <row r="26" spans="2:10" ht="4.5" customHeight="1" x14ac:dyDescent="0.25">
      <c r="B26" s="21"/>
      <c r="F26" s="22"/>
    </row>
    <row r="27" spans="2:10" x14ac:dyDescent="0.25">
      <c r="B27" s="21"/>
      <c r="C27" s="30" t="s">
        <v>4</v>
      </c>
      <c r="D27" s="26">
        <f>D13-D14-D14</f>
        <v>1050</v>
      </c>
      <c r="E27" s="31" t="s">
        <v>1</v>
      </c>
      <c r="F27" s="32"/>
      <c r="G27" s="31"/>
      <c r="H27" s="31"/>
      <c r="I27" s="31"/>
    </row>
    <row r="28" spans="2:10" x14ac:dyDescent="0.25">
      <c r="B28" s="21"/>
      <c r="C28" s="30" t="s">
        <v>0</v>
      </c>
      <c r="D28" s="26">
        <f>D21</f>
        <v>150</v>
      </c>
      <c r="E28" s="31" t="s">
        <v>1</v>
      </c>
      <c r="F28" s="32"/>
      <c r="G28" s="31"/>
      <c r="H28" s="31"/>
      <c r="I28" s="31"/>
    </row>
    <row r="29" spans="2:10" x14ac:dyDescent="0.25">
      <c r="B29" s="21"/>
      <c r="C29" s="30" t="s">
        <v>3</v>
      </c>
      <c r="D29" s="26">
        <f>((D31*D21)/(PI()*(D13-D14-D14-D20)))/D21</f>
        <v>3.6798830772692561</v>
      </c>
      <c r="F29" s="22"/>
    </row>
    <row r="30" spans="2:10" ht="6.75" customHeight="1" x14ac:dyDescent="0.25">
      <c r="B30" s="21"/>
      <c r="C30" s="30"/>
      <c r="D30" s="30"/>
      <c r="E30" s="30"/>
      <c r="F30" s="32"/>
      <c r="G30" s="31"/>
      <c r="H30" s="31"/>
      <c r="I30" s="31"/>
    </row>
    <row r="31" spans="2:10" x14ac:dyDescent="0.25">
      <c r="B31" s="21"/>
      <c r="C31" s="30" t="s">
        <v>17</v>
      </c>
      <c r="D31" s="44">
        <v>12000</v>
      </c>
      <c r="E31" s="31" t="s">
        <v>1</v>
      </c>
      <c r="F31" s="22"/>
    </row>
    <row r="32" spans="2:10" x14ac:dyDescent="0.25">
      <c r="B32" s="21"/>
      <c r="C32" s="30" t="s">
        <v>2</v>
      </c>
      <c r="D32" s="35">
        <f>ROUND((D31*D21)/(PI()*(D13-D14-D14-D20)),0)</f>
        <v>552</v>
      </c>
      <c r="E32" s="31" t="s">
        <v>1</v>
      </c>
      <c r="F32" s="32"/>
      <c r="G32" s="31"/>
      <c r="H32" s="31"/>
      <c r="I32" s="31"/>
    </row>
    <row r="33" spans="1:21" x14ac:dyDescent="0.25">
      <c r="B33" s="21"/>
      <c r="F33" s="22"/>
    </row>
    <row r="34" spans="1:21" x14ac:dyDescent="0.25">
      <c r="B34" s="21"/>
      <c r="F34" s="22"/>
    </row>
    <row r="35" spans="1:21" x14ac:dyDescent="0.25">
      <c r="B35" s="21"/>
      <c r="F35" s="22"/>
    </row>
    <row r="36" spans="1:21" x14ac:dyDescent="0.25">
      <c r="B36" s="21"/>
      <c r="F36" s="22"/>
    </row>
    <row r="37" spans="1:21" x14ac:dyDescent="0.25">
      <c r="B37" s="21"/>
      <c r="F37" s="22"/>
    </row>
    <row r="38" spans="1:21" x14ac:dyDescent="0.25">
      <c r="B38" s="21"/>
      <c r="C38" s="28" t="s">
        <v>24</v>
      </c>
      <c r="D38" s="28"/>
      <c r="E38" s="28"/>
      <c r="F38" s="22"/>
    </row>
    <row r="39" spans="1:21" ht="6" customHeight="1" x14ac:dyDescent="0.25">
      <c r="B39" s="21"/>
      <c r="F39" s="22"/>
    </row>
    <row r="40" spans="1:21" x14ac:dyDescent="0.25">
      <c r="B40" s="21"/>
      <c r="C40" s="30" t="s">
        <v>18</v>
      </c>
      <c r="D40" s="35">
        <f>ROUNDUP((D16/D32)+((((D16/D32)-1)*D23*D20)/D31),0)</f>
        <v>43</v>
      </c>
      <c r="F40" s="32"/>
      <c r="G40" s="31"/>
      <c r="H40" s="31"/>
      <c r="I40" s="31"/>
    </row>
    <row r="41" spans="1:21" x14ac:dyDescent="0.25">
      <c r="B41" s="21"/>
      <c r="F41" s="22"/>
    </row>
    <row r="42" spans="1:21" x14ac:dyDescent="0.25">
      <c r="B42" s="36"/>
      <c r="C42" s="37"/>
      <c r="D42" s="37"/>
      <c r="E42" s="37"/>
      <c r="F42" s="38"/>
    </row>
    <row r="45" spans="1:21" x14ac:dyDescent="0.25">
      <c r="K45" s="23"/>
    </row>
    <row r="48" spans="1:21" x14ac:dyDescent="0.25">
      <c r="A48" s="39"/>
      <c r="B48" s="40" t="s">
        <v>28</v>
      </c>
      <c r="C48" s="40"/>
      <c r="D48" s="40"/>
      <c r="E48" s="40"/>
      <c r="F48" s="40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</row>
    <row r="49" spans="1:23" x14ac:dyDescent="0.25">
      <c r="A49" s="39"/>
      <c r="B49" s="40"/>
      <c r="C49" s="40"/>
      <c r="D49" s="40"/>
      <c r="E49" s="40"/>
      <c r="F49" s="40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</row>
    <row r="50" spans="1:23" x14ac:dyDescent="0.25">
      <c r="A50" s="39"/>
      <c r="B50" s="40"/>
      <c r="C50" s="40"/>
      <c r="D50" s="40"/>
      <c r="E50" s="40"/>
      <c r="F50" s="40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</row>
    <row r="51" spans="1:23" x14ac:dyDescent="0.25">
      <c r="A51" s="39"/>
      <c r="B51" s="40"/>
      <c r="C51" s="40"/>
      <c r="D51" s="40"/>
      <c r="E51" s="40"/>
      <c r="F51" s="40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</row>
    <row r="52" spans="1:23" x14ac:dyDescent="0.25">
      <c r="A52" s="39"/>
      <c r="B52" s="40"/>
      <c r="C52" s="40"/>
      <c r="D52" s="40"/>
      <c r="E52" s="40"/>
      <c r="F52" s="40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</row>
    <row r="53" spans="1:23" s="5" customFormat="1" ht="28.5" customHeight="1" x14ac:dyDescent="0.65">
      <c r="W53" s="19"/>
    </row>
    <row r="54" spans="1:23" s="41" customFormat="1" ht="30.75" x14ac:dyDescent="0.45">
      <c r="C54" s="42" t="s">
        <v>27</v>
      </c>
    </row>
    <row r="55" spans="1:23" s="5" customFormat="1" x14ac:dyDescent="0.25">
      <c r="C55" s="43" t="s">
        <v>30</v>
      </c>
    </row>
    <row r="56" spans="1:23" s="5" customFormat="1" x14ac:dyDescent="0.25"/>
    <row r="98" ht="22.5" customHeight="1" x14ac:dyDescent="0.25"/>
  </sheetData>
  <sheetProtection algorithmName="SHA-512" hashValue="PWdN46SqnU3+Lp+qnqxLzBw2Wn/33atHrqc3J+4M3w0POAUjvOcVGjVdTrM423aG/Y68+n2sT1nJMbtqbNN/Yg==" saltValue="wOOpo24GJWWV5hFZSF/Kgg==" spinCount="100000" sheet="1" objects="1" scenarios="1" formatCells="0" formatColumns="0" formatRows="0"/>
  <dataValidations count="1">
    <dataValidation type="list" allowBlank="1" showInputMessage="1" showErrorMessage="1" sqref="D20" xr:uid="{D9BD8A4E-41F3-4385-8269-F0697BE3D507}">
      <formula1>"8,10,12,14,16,18,20,22,25,32,40"</formula1>
    </dataValidation>
  </dataValidations>
  <printOptions horizontalCentered="1"/>
  <pageMargins left="0.25" right="0.25" top="0.75" bottom="0.75" header="0.3" footer="0.3"/>
  <pageSetup paperSize="8" orientation="landscape" r:id="rId1"/>
  <headerFooter>
    <oddFooter xml:space="preserve">&amp;L&amp;K04+000https://www.linkedin.com/in/&amp;"-,Bold"muhammad-bayoumi-ali&amp;"-,Regular"/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Spiral Rebar Detailing Tool</vt:lpstr>
      <vt:lpstr>'Spiral Rebar Detailing Tool'!Print_Area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</dc:creator>
  <cp:lastModifiedBy>Muhammad Bayoumi</cp:lastModifiedBy>
  <cp:lastPrinted>2025-10-11T11:49:54Z</cp:lastPrinted>
  <dcterms:created xsi:type="dcterms:W3CDTF">2021-07-02T08:27:29Z</dcterms:created>
  <dcterms:modified xsi:type="dcterms:W3CDTF">2025-10-11T12:04:34Z</dcterms:modified>
</cp:coreProperties>
</file>